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Herleitung" sheetId="1" state="visible" r:id="rId1"/>
    <sheet name="Annahmen" sheetId="2" state="visible" r:id="rId2"/>
    <sheet name="Rentabilitaet" sheetId="3" state="visible" r:id="rId3"/>
    <sheet name="Monatsdetail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€#,##0"/>
    <numFmt numFmtId="165" formatCode="0.0%"/>
    <numFmt numFmtId="166" formatCode="\€#,##0.00"/>
    <numFmt numFmtId="167" formatCode="0.0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FFFFFF"/>
      <sz val="12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1"/>
    </font>
    <font>
      <name val="Arial"/>
      <charset val="1"/>
      <family val="0"/>
      <b val="1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8000"/>
      <sz val="11"/>
    </font>
    <font>
      <name val="Arial"/>
      <charset val="1"/>
      <family val="0"/>
      <sz val="9"/>
    </font>
    <font>
      <name val="Arial"/>
      <charset val="1"/>
      <family val="0"/>
      <i val="1"/>
      <sz val="9"/>
    </font>
  </fonts>
  <fills count="8">
    <fill>
      <patternFill/>
    </fill>
    <fill>
      <patternFill patternType="gray125"/>
    </fill>
    <fill>
      <patternFill patternType="solid">
        <fgColor rgb="FF305496"/>
        <bgColor rgb="FF0066CC"/>
      </patternFill>
    </fill>
    <fill>
      <patternFill patternType="solid">
        <fgColor rgb="FFD9E1F2"/>
        <bgColor rgb="FFD9D9D9"/>
      </patternFill>
    </fill>
    <fill>
      <patternFill patternType="solid">
        <fgColor rgb="FFE2EFDA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164" fontId="8" fillId="4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9" fillId="0" borderId="2" applyAlignment="1" pivotButton="0" quotePrefix="0" xfId="0">
      <alignment horizontal="general" vertical="bottom"/>
    </xf>
    <xf numFmtId="165" fontId="9" fillId="0" borderId="2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6" fontId="11" fillId="0" borderId="2" applyAlignment="1" pivotButton="0" quotePrefix="0" xfId="0">
      <alignment horizontal="general" vertical="bottom"/>
    </xf>
    <xf numFmtId="164" fontId="9" fillId="5" borderId="2" applyAlignment="1" pivotButton="0" quotePrefix="0" xfId="0">
      <alignment horizontal="general" vertical="bottom"/>
    </xf>
    <xf numFmtId="1" fontId="9" fillId="0" borderId="2" applyAlignment="1" pivotButton="0" quotePrefix="0" xfId="0">
      <alignment horizontal="general" vertical="bottom"/>
    </xf>
    <xf numFmtId="1" fontId="9" fillId="5" borderId="2" applyAlignment="1" pivotButton="0" quotePrefix="0" xfId="0">
      <alignment horizontal="general" vertical="bottom"/>
    </xf>
    <xf numFmtId="164" fontId="11" fillId="0" borderId="2" applyAlignment="1" pivotButton="0" quotePrefix="0" xfId="0">
      <alignment horizontal="general" vertical="bottom"/>
    </xf>
    <xf numFmtId="10" fontId="9" fillId="0" borderId="2" applyAlignment="1" pivotButton="0" quotePrefix="0" xfId="0">
      <alignment horizontal="general" vertical="bottom"/>
    </xf>
    <xf numFmtId="10" fontId="11" fillId="0" borderId="2" applyAlignment="1" pivotButton="0" quotePrefix="0" xfId="0">
      <alignment horizontal="general" vertical="bottom"/>
    </xf>
    <xf numFmtId="1" fontId="11" fillId="0" borderId="2" applyAlignment="1" pivotButton="0" quotePrefix="0" xfId="0">
      <alignment horizontal="general" vertical="bottom"/>
    </xf>
    <xf numFmtId="165" fontId="9" fillId="5" borderId="2" applyAlignment="1" pivotButton="0" quotePrefix="0" xfId="0">
      <alignment horizontal="general" vertical="bottom"/>
    </xf>
    <xf numFmtId="0" fontId="12" fillId="2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4" fontId="13" fillId="0" borderId="1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164" fontId="10" fillId="3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166" fontId="13" fillId="0" borderId="1" applyAlignment="1" pivotButton="0" quotePrefix="0" xfId="0">
      <alignment horizontal="general" vertical="bottom"/>
    </xf>
    <xf numFmtId="164" fontId="11" fillId="0" borderId="1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/>
    </xf>
    <xf numFmtId="164" fontId="10" fillId="4" borderId="1" applyAlignment="1" pivotButton="0" quotePrefix="0" xfId="0">
      <alignment horizontal="general" vertical="bottom"/>
    </xf>
    <xf numFmtId="166" fontId="11" fillId="0" borderId="1" applyAlignment="1" pivotButton="0" quotePrefix="0" xfId="0">
      <alignment horizontal="general" vertical="bottom"/>
    </xf>
    <xf numFmtId="0" fontId="10" fillId="4" borderId="0" applyAlignment="1" pivotButton="0" quotePrefix="0" xfId="0">
      <alignment horizontal="center" vertical="bottom"/>
    </xf>
    <xf numFmtId="0" fontId="10" fillId="6" borderId="0" applyAlignment="1" pivotButton="0" quotePrefix="0" xfId="0">
      <alignment horizontal="center" vertical="bottom"/>
    </xf>
    <xf numFmtId="0" fontId="10" fillId="7" borderId="0" applyAlignment="1" pivotButton="0" quotePrefix="0" xfId="0">
      <alignment horizontal="center" vertical="bottom"/>
    </xf>
    <xf numFmtId="0" fontId="14" fillId="4" borderId="0" applyAlignment="1" pivotButton="0" quotePrefix="0" xfId="0">
      <alignment horizontal="center" vertical="bottom"/>
    </xf>
    <xf numFmtId="0" fontId="14" fillId="6" borderId="0" applyAlignment="1" pivotButton="0" quotePrefix="0" xfId="0">
      <alignment horizontal="center" vertical="bottom"/>
    </xf>
    <xf numFmtId="0" fontId="14" fillId="7" borderId="0" applyAlignment="1" pivotButton="0" quotePrefix="0" xfId="0">
      <alignment horizontal="center" vertical="bottom"/>
    </xf>
    <xf numFmtId="0" fontId="15" fillId="4" borderId="0" applyAlignment="1" pivotButton="0" quotePrefix="0" xfId="0">
      <alignment horizontal="center" vertical="bottom"/>
    </xf>
    <xf numFmtId="0" fontId="15" fillId="6" borderId="0" applyAlignment="1" pivotButton="0" quotePrefix="0" xfId="0">
      <alignment horizontal="center" vertical="bottom"/>
    </xf>
    <xf numFmtId="0" fontId="15" fillId="7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1" fontId="13" fillId="0" borderId="1" applyAlignment="1" pivotButton="0" quotePrefix="0" xfId="0">
      <alignment horizontal="general" vertical="bottom"/>
    </xf>
    <xf numFmtId="1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167" fontId="0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164" fontId="8" fillId="4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9" fillId="0" borderId="2" applyAlignment="1" pivotButton="0" quotePrefix="0" xfId="0">
      <alignment horizontal="general" vertical="bottom"/>
    </xf>
    <xf numFmtId="165" fontId="9" fillId="0" borderId="2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6" fontId="11" fillId="0" borderId="2" applyAlignment="1" pivotButton="0" quotePrefix="0" xfId="0">
      <alignment horizontal="general" vertical="bottom"/>
    </xf>
    <xf numFmtId="164" fontId="9" fillId="5" borderId="2" applyAlignment="1" pivotButton="0" quotePrefix="0" xfId="0">
      <alignment horizontal="general" vertical="bottom"/>
    </xf>
    <xf numFmtId="1" fontId="9" fillId="0" borderId="2" applyAlignment="1" pivotButton="0" quotePrefix="0" xfId="0">
      <alignment horizontal="general" vertical="bottom"/>
    </xf>
    <xf numFmtId="1" fontId="9" fillId="5" borderId="2" applyAlignment="1" pivotButton="0" quotePrefix="0" xfId="0">
      <alignment horizontal="general" vertical="bottom"/>
    </xf>
    <xf numFmtId="164" fontId="11" fillId="0" borderId="2" applyAlignment="1" pivotButton="0" quotePrefix="0" xfId="0">
      <alignment horizontal="general" vertical="bottom"/>
    </xf>
    <xf numFmtId="10" fontId="9" fillId="0" borderId="2" applyAlignment="1" pivotButton="0" quotePrefix="0" xfId="0">
      <alignment horizontal="general" vertical="bottom"/>
    </xf>
    <xf numFmtId="10" fontId="11" fillId="0" borderId="2" applyAlignment="1" pivotButton="0" quotePrefix="0" xfId="0">
      <alignment horizontal="general" vertical="bottom"/>
    </xf>
    <xf numFmtId="1" fontId="11" fillId="0" borderId="2" applyAlignment="1" pivotButton="0" quotePrefix="0" xfId="0">
      <alignment horizontal="general" vertical="bottom"/>
    </xf>
    <xf numFmtId="165" fontId="9" fillId="5" borderId="2" applyAlignment="1" pivotButton="0" quotePrefix="0" xfId="0">
      <alignment horizontal="general" vertical="bottom"/>
    </xf>
    <xf numFmtId="0" fontId="12" fillId="2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4" fontId="13" fillId="0" borderId="1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164" fontId="10" fillId="3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166" fontId="13" fillId="0" borderId="1" applyAlignment="1" pivotButton="0" quotePrefix="0" xfId="0">
      <alignment horizontal="general" vertical="bottom"/>
    </xf>
    <xf numFmtId="164" fontId="11" fillId="0" borderId="1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/>
    </xf>
    <xf numFmtId="164" fontId="10" fillId="4" borderId="1" applyAlignment="1" pivotButton="0" quotePrefix="0" xfId="0">
      <alignment horizontal="general" vertical="bottom"/>
    </xf>
    <xf numFmtId="166" fontId="11" fillId="0" borderId="1" applyAlignment="1" pivotButton="0" quotePrefix="0" xfId="0">
      <alignment horizontal="general" vertical="bottom"/>
    </xf>
    <xf numFmtId="0" fontId="10" fillId="4" borderId="0" applyAlignment="1" pivotButton="0" quotePrefix="0" xfId="0">
      <alignment horizontal="center" vertical="bottom"/>
    </xf>
    <xf numFmtId="0" fontId="10" fillId="6" borderId="0" applyAlignment="1" pivotButton="0" quotePrefix="0" xfId="0">
      <alignment horizontal="center" vertical="bottom"/>
    </xf>
    <xf numFmtId="0" fontId="10" fillId="7" borderId="0" applyAlignment="1" pivotButton="0" quotePrefix="0" xfId="0">
      <alignment horizontal="center" vertical="bottom"/>
    </xf>
    <xf numFmtId="0" fontId="14" fillId="4" borderId="0" applyAlignment="1" pivotButton="0" quotePrefix="0" xfId="0">
      <alignment horizontal="center" vertical="bottom"/>
    </xf>
    <xf numFmtId="0" fontId="14" fillId="6" borderId="0" applyAlignment="1" pivotButton="0" quotePrefix="0" xfId="0">
      <alignment horizontal="center" vertical="bottom"/>
    </xf>
    <xf numFmtId="0" fontId="14" fillId="7" borderId="0" applyAlignment="1" pivotButton="0" quotePrefix="0" xfId="0">
      <alignment horizontal="center" vertical="bottom"/>
    </xf>
    <xf numFmtId="0" fontId="15" fillId="4" borderId="0" applyAlignment="1" pivotButton="0" quotePrefix="0" xfId="0">
      <alignment horizontal="center" vertical="bottom"/>
    </xf>
    <xf numFmtId="0" fontId="15" fillId="6" borderId="0" applyAlignment="1" pivotButton="0" quotePrefix="0" xfId="0">
      <alignment horizontal="center" vertical="bottom"/>
    </xf>
    <xf numFmtId="0" fontId="15" fillId="7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1" fontId="13" fillId="0" borderId="1" applyAlignment="1" pivotButton="0" quotePrefix="0" xfId="0">
      <alignment horizontal="general" vertical="bottom"/>
    </xf>
    <xf numFmtId="1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167" fontId="0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6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8" customWidth="1" style="55" min="1" max="1"/>
    <col width="14" customWidth="1" style="55" min="2" max="4"/>
  </cols>
  <sheetData>
    <row r="1" ht="24" customHeight="1" s="56">
      <c r="A1" s="57" t="inlineStr">
        <is>
          <t>HERLEITUNG DER RENTABILITÄTSVORSCHAU — Methodik &amp; Annahmen</t>
        </is>
      </c>
    </row>
    <row r="2" ht="28.5" customHeight="1" s="56">
      <c r="A2" s="58" t="inlineStr">
        <is>
          <t>Thin Ice Digital UG (haftungsbeschränkt) — Produkte: Runnr (B2C SaaS) und Glacifraga (B2B Institutional)  |  Geschäftsjahre 1–3: Juli 2026 – Juni 2029</t>
        </is>
      </c>
    </row>
    <row r="3" ht="6" customHeight="1" s="56"/>
    <row r="4" ht="19.5" customHeight="1" s="56">
      <c r="A4" s="59" t="inlineStr">
        <is>
          <t>1.  Zweck und Aufbau</t>
        </is>
      </c>
      <c r="B4" s="60" t="n"/>
      <c r="C4" s="60" t="n"/>
      <c r="D4" s="60" t="n"/>
    </row>
    <row r="5" ht="72" customHeight="1" s="56">
      <c r="A5" s="61" t="inlineStr">
        <is>
          <t>Diese Rentabilitätsvorschau wurde bottom-up aus monatlichen Treibern abgeleitet (Sheet "Monatsdetail", 36 Monate) und auf dem Sheet "Rentabilitaet" zu drei Geschäftsjahren zusammengefasst. Alle Eingabeparameter liegen zentral im Sheet "Annahmen": blaue Zellen sind editierbare Eingaben, gelb hinterlegte Zellen sind Platzhalter, die vor Einreichung final bestätigt werden sollten (siehe Abschnitt 10). Thin Ice Digital UG betreibt zwei Produkte unter einem Dach — Runnr als Hauptumsatzträger und Glacifraga als bewusst konservativ angesetzte Zweitsäule.</t>
        </is>
      </c>
    </row>
    <row r="6" ht="6" customHeight="1" s="56"/>
    <row r="7" ht="19.5" customHeight="1" s="56">
      <c r="A7" s="59" t="inlineStr">
        <is>
          <t>2.  Runnr SaaS — Umsatzherleitung</t>
        </is>
      </c>
      <c r="B7" s="60" t="n"/>
      <c r="C7" s="60" t="n"/>
      <c r="D7" s="60" t="n"/>
    </row>
    <row r="8" ht="28.5" customHeight="1" s="56">
      <c r="A8" s="61" t="inlineStr">
        <is>
          <t>Preismodell: zwei Tarife, Basic €19/Monat und Pro €25/Monat, mit einem angenommenen Pro-Anteil von 35% der Neuabos (Annahmen!B5:B7). Daraus ergibt sich ein gewichteter ARPU (Average Revenue Per User) von €21,10/Monat (Annahmen!B8).</t>
        </is>
      </c>
    </row>
    <row r="9" ht="72" customHeight="1" s="56">
      <c r="A9" s="61" t="inlineStr">
        <is>
          <t>Abo-Wachstum: Die monatlichen Netto-Neuzugänge (Monatsdetail Zeile 8) folgen einer S-Kurve — langsamer Start in der Soft-Launch-Phase, Beschleunigung zur Jahresmitte, leichte Abflachung gegen Jahresende. Daraus ergeben sich kumuliert 500 zahlende Abos am Ende von Jahr 1, ca. 1.008 am Ende von Jahr 2 (≈2,0x) und ca. 1.922 am Ende von Jahr 3 (≈1,9x) — eine ungefähre Verdopplung pro Jahr, ein etabliertes und für ein Produkt mit organischem Funnel über Whop.com sowie bestehender Social-Media-Reichweite konservativ einstufbares SaaS-Wachstumsmuster. Der monatliche Runnr-Umsatz ergibt sich jeweils aus kumulierten zahlenden Abos × ARPU.</t>
        </is>
      </c>
    </row>
    <row r="10" ht="72" customHeight="1" s="56">
      <c r="A10" s="61" t="inlineStr">
        <is>
          <t>Hinweis zur Umsatzentwicklung zwischen den Jahren: Der nominale Sprung von Jahr 1 auf Jahr 2 ist ein Basiseffekt der S-Kurve — Jahr 1 endet mit einer Monats-Run-Rate von ca. €11.700 (×12 = €140.400 p.a.), während der Jahresdurchschnitt durch die Anlaufphase niedriger liegt. Die Exit-Run-Rate (letzter Monat × 12, siehe Sheet "Rentabilitaet") verläuft dagegen glatt von €140.400 (Jahr 1) über €321.446 (Jahr 2) auf €623.218 (Jahr 3) — ein Faktor von rund 2,2x pro Jahr, der die tatsächliche Wachstumsdynamik deutlich realistischer abbildet als der nominale Jahresvergleich.</t>
        </is>
      </c>
    </row>
    <row r="11" ht="6" customHeight="1" s="56"/>
    <row r="12" ht="19.5" customHeight="1" s="56">
      <c r="A12" s="59" t="inlineStr">
        <is>
          <t>3.  Broker-Partnerschaft — CPA-Modell ("Month-13-Trigger")</t>
        </is>
      </c>
      <c r="B12" s="60" t="n"/>
      <c r="C12" s="60" t="n"/>
      <c r="D12" s="60" t="n"/>
    </row>
    <row r="13" ht="57.75" customHeight="1" s="56">
      <c r="A13" s="61" t="inlineStr">
        <is>
          <t>Ab Monat 13 (= Beginn Jahr 2) wird eine zweite Umsatzquelle aktiv: eine Flat-Fee (CPA, "Cost per Acquisition") pro Trader, der sich über Runnr beim Partnerbroker registriert. Angenommen werden €150 pro Vermittlung (Annahmen!B11, Platzhalter — marktüblich €100–300, final mit dem Partnerbroker zu verhandeln) und eine Konversionsquote von 20% der monatlichen Netto-Neuabos (Annahmen!B12). Dieser Zeitpunkt entspricht dem geplanten Break-even zu Beginn von Jahr 2.</t>
        </is>
      </c>
    </row>
    <row r="14" ht="6" customHeight="1" s="56"/>
    <row r="15" ht="19.5" customHeight="1" s="56">
      <c r="A15" s="59" t="inlineStr">
        <is>
          <t>4.  Glacifraga Institutional — konservative Zweitsäule</t>
        </is>
      </c>
      <c r="B15" s="60" t="n"/>
      <c r="C15" s="60" t="n"/>
      <c r="D15" s="60" t="n"/>
    </row>
    <row r="16" ht="43.5" customHeight="1" s="56">
      <c r="A16" s="61" t="inlineStr">
        <is>
          <t>Glacifraga ist ein bereits entwickeltes, live laufendes algorithmisches Signal-System (Backtests der konservativen Konfiguration "Baron von Richstone": Profit-Faktor 3,45, Sharpe 7,96, Max Drawdown -2,5%). Die institutionelle Vermarktung läuft bereits über mehrere Kontaktaufnahmen zu Prop-Trading-Firmen und Bank-Quant-Desks.</t>
        </is>
      </c>
    </row>
    <row r="17" ht="57.75" customHeight="1" s="56">
      <c r="A17" s="61" t="inlineStr">
        <is>
          <t>Da institutionelle Vertriebszyklen typischerweise länger als 12 Monate dauern und noch kein Live-Track-Record vorliegt, wird Glacifraga in dieser Vorschau bewusst konservativ auf Prop-Firm-Niveau angesetzt: €0 in Jahr 1, ein Pilotkunde ab Monat 16 mit €2.000/Monat (Jahr 2: €18.000), Erhöhung dieses Kunden auf €2.500/Monat ab Monat 25 sowie ein zweiter Kunde ab Monat 28 mit €2.000/Monat (Jahr 3: €48.000 gesamt).</t>
        </is>
      </c>
    </row>
    <row r="18" ht="28.5" customHeight="1" s="56">
      <c r="A18" s="61" t="inlineStr">
        <is>
          <t>Diese Beträge sind ausdrücklich NICHT erforderlich, um die Kapitaldienstfähigkeit darzustellen — siehe die Sensitivitätsrechnung in Abschnitt 9.</t>
        </is>
      </c>
    </row>
    <row r="19" ht="6" customHeight="1" s="56"/>
    <row r="20" ht="19.5" customHeight="1" s="56">
      <c r="A20" s="59" t="inlineStr">
        <is>
          <t>5.  Kostenstruktur</t>
        </is>
      </c>
      <c r="B20" s="60" t="n"/>
      <c r="C20" s="60" t="n"/>
      <c r="D20" s="60" t="n"/>
    </row>
    <row r="21" ht="115.5" customHeight="1" s="56">
      <c r="A21" s="61" t="inlineStr">
        <is>
          <t>Personal (Geschäftsführergehalt): Die Höhe und der Zeitpunkt der Geschäftsführer-Vergütung leiten sich direkt aus der privaten Haushaltsrechnung (Selbstauskunft) ab. Der Haushalt (verheiratet, 2 Kinder) bezieht bis Dezember 2026 (= Monat 6) Arbeitslosengeld I (€2.500/Monat) zusätzlich zu Kindergeld (€500/Monat) und Auslandseinkommen (€1.400/Monat) — Gesamteinnahmen €4.400/Monat gegenüber Ausgaben von €2.685/Monat, also ein Überschuss von €1.715/Monat bereits OHNE Geschäftsführergehalt. Für Monat 1–6 wird das Geschäftsführergehalt daher mit €0 angesetzt (Annahmen!B58 = 6). Ab Monat 7 entfällt das ALG I, wodurch eine Deckungslücke von €785/Monat entsteht; das Geschäftsführergehalt startet daher in Monat 7 bei €1.000/Monat (deckt die Lücke plus kleinen Puffer) und steigt linear bis €5.000/Monat in Monat 36 (Annahmen!B20–B21). Ab Monat 19 zusätzlich ein Freelancer-Honorar (€800/Monat in Jahr 2, €1.000/Monat in Jahr 3) für Teilzeit-Unterstützung (Annahmen!B22–B24).</t>
        </is>
      </c>
    </row>
    <row r="22" ht="28.5" customHeight="1" s="56">
      <c r="A22" s="61" t="inlineStr">
        <is>
          <t>Werbung: linearer Anstieg von €600/Monat (Monat 1) auf €3.000/Monat (Monat 36) — das Marketingbudget skaliert mit dem Funnel; das Zielniveau berücksichtigt mögliche Kooperationen mit Fintech-Influencern und ist als Platzhalter markiert (Annahmen!B28–B29).</t>
        </is>
      </c>
    </row>
    <row r="23" ht="28.5" customHeight="1" s="56">
      <c r="A23" s="61" t="inlineStr">
        <is>
          <t>Wareneinsatz: 10% Plattformgebühr auf den Runnr-Umsatz (Whop.com) plus €150/Monat fixe Infrastrukturkosten (Hosting, Marktdaten, Annahmen!B16–B17). Miete/Homeoffice: pauschal €150/Monat. Buchführung/Steuerberater: pauschal €200/Monat (Annahmen!B27, B30).</t>
        </is>
      </c>
    </row>
    <row r="24" ht="6" customHeight="1" s="56"/>
    <row r="25" ht="19.5" customHeight="1" s="56">
      <c r="A25" s="59" t="inlineStr">
        <is>
          <t>6.  Investition &amp; Abschreibung</t>
        </is>
      </c>
      <c r="B25" s="60" t="n"/>
      <c r="C25" s="60" t="n"/>
      <c r="D25" s="60" t="n"/>
    </row>
    <row r="26" ht="43.5" customHeight="1" s="56">
      <c r="A26" s="61" t="inlineStr">
        <is>
          <t>Das im KfW-Antrag enthaltene Investitionsvolumen von €89.000 (Software/IP, Infrastruktur, Equipment) wird linear über 3 Jahre abgeschrieben (€29.667/Jahr bzw. €2.472/Monat, Annahmen!B33–B36). Die Nutzungsdauer von 3 Jahren orientiert sich an der AfA-Tabelle für Software/IT-Equipment und sollte final mit dem Steuerberater abgestimmt werden.</t>
        </is>
      </c>
    </row>
    <row r="27" ht="6" customHeight="1" s="56"/>
    <row r="28" ht="19.5" customHeight="1" s="56">
      <c r="A28" s="59" t="inlineStr">
        <is>
          <t>7.  KfW-StartGeld-Darlehen (067)</t>
        </is>
      </c>
      <c r="B28" s="60" t="n"/>
      <c r="C28" s="60" t="n"/>
      <c r="D28" s="60" t="n"/>
    </row>
    <row r="29" ht="43.5" customHeight="1" s="56">
      <c r="A29" s="61" t="inlineStr">
        <is>
          <t>Auszahlung €170.000 zu Monat 1. In Monat 6 (Dezember 2026) erfolgt eine Sondertilgung von €81.200 aus der ProFIT-Phase-A-Zuwendung, wodurch sich der Kreditsaldo auf €88.800 reduziert. Der effektive Jahreszins von 3,93% wurde aus den bereits abgestimmten Zinsbeträgen (€556,75/Monat auf €170.000 bzw. €290,82/Monat auf €88.800) rückgerechnet (Annahmen!B39–B43).</t>
        </is>
      </c>
    </row>
    <row r="30" ht="43.5" customHeight="1" s="56">
      <c r="A30" s="61" t="inlineStr">
        <is>
          <t>Es werden 2 tilgungsfreie Anlaufjahre und eine Gesamtlaufzeit von 10 Jahren angenommen (gemäß KfW-Merkblatt 067, Stand 01.02.2026, eine bei StartGeld-Krediten mögliche Kombination) — final mit der Deutsche Bank zu bestätigen (Annahmen!B44–B45). Ab Monat 25 (Jahr 3) beginnt die reguläre Tilgung mit €925/Monat über die verbleibenden 96 Monate.</t>
        </is>
      </c>
    </row>
    <row r="31" ht="6" customHeight="1" s="56"/>
    <row r="32" ht="19.5" customHeight="1" s="56">
      <c r="A32" s="59" t="inlineStr">
        <is>
          <t>8.  Steuern</t>
        </is>
      </c>
      <c r="B32" s="60" t="n"/>
      <c r="C32" s="60" t="n"/>
      <c r="D32" s="60" t="n"/>
    </row>
    <row r="33" ht="57.75" customHeight="1" s="56">
      <c r="A33" s="61" t="inlineStr">
        <is>
          <t>Es wird ein effektiver Unternehmenssteuersatz von 30% angenommen (Körperschaftsteuer 15% + Solidaritätszuschlag + Gewerbesteuer bei einem angenommenen Hebesatz von ca. 380% für Fürstenwalde/Brandenburg, Annahmen!B50). Der Verlust aus Jahr 1 (-€38.972 vor Steuern) wird in Jahr 2 vollständig als Verlustvortrag verrechnet, sodass in Jahr 2 nur auf den übersteigenden Betrag Steuern anfallen (Sheet "Rentabilitaet", Zeilen "Verlustvortrag"). Der Steuersatz ist ein Platzhalter und final mit dem Steuerberater abzustimmen.</t>
        </is>
      </c>
    </row>
    <row r="34" ht="6" customHeight="1" s="56"/>
    <row r="35" ht="19.5" customHeight="1" s="56">
      <c r="A35" s="59" t="inlineStr">
        <is>
          <t>9.  Zusammenfassung — Kapitaldienstfähigkeit (inkl. Sensitivität "ohne Glacifraga")</t>
        </is>
      </c>
      <c r="B35" s="60" t="n"/>
      <c r="C35" s="60" t="n"/>
      <c r="D35" s="60" t="n"/>
    </row>
    <row r="37" ht="15" customHeight="1" s="56">
      <c r="A37" s="62" t="n"/>
      <c r="B37" s="62" t="inlineStr">
        <is>
          <t>Jahr 1</t>
        </is>
      </c>
      <c r="C37" s="62" t="inlineStr">
        <is>
          <t>Jahr 2</t>
        </is>
      </c>
      <c r="D37" s="62" t="inlineStr">
        <is>
          <t>Jahr 3</t>
        </is>
      </c>
    </row>
    <row r="38" ht="15" customHeight="1" s="56">
      <c r="A38" s="63" t="inlineStr">
        <is>
          <t>EBT vor Steuern</t>
        </is>
      </c>
      <c r="B38" s="64" t="n">
        <v>-9293</v>
      </c>
      <c r="C38" s="64" t="n">
        <v>114813</v>
      </c>
      <c r="D38" s="64" t="n">
        <v>281311</v>
      </c>
    </row>
    <row r="39" ht="15" customHeight="1" s="56">
      <c r="A39" s="63" t="inlineStr">
        <is>
          <t>Jahresüberschuss</t>
        </is>
      </c>
      <c r="B39" s="64" t="n">
        <v>-9293</v>
      </c>
      <c r="C39" s="64" t="n">
        <v>83157</v>
      </c>
      <c r="D39" s="64" t="n">
        <v>196918</v>
      </c>
    </row>
    <row r="40" ht="15" customHeight="1" s="56">
      <c r="A40" s="65" t="inlineStr">
        <is>
          <t>Verfügbares Einkommen (mit Glacifraga)</t>
        </is>
      </c>
      <c r="B40" s="66" t="n">
        <v>20374</v>
      </c>
      <c r="C40" s="66" t="n">
        <v>112824</v>
      </c>
      <c r="D40" s="66" t="n">
        <v>215484</v>
      </c>
    </row>
    <row r="41" ht="15" customHeight="1" s="56">
      <c r="A41" s="67" t="inlineStr">
        <is>
          <t>Verfügbares Einkommen (ohne Glacifraga)</t>
        </is>
      </c>
      <c r="B41" s="68" t="n">
        <v>20374</v>
      </c>
      <c r="C41" s="68" t="n">
        <v>100224</v>
      </c>
      <c r="D41" s="68" t="n">
        <v>181884</v>
      </c>
    </row>
    <row r="42" ht="15" customHeight="1" s="56">
      <c r="A42" s="63" t="inlineStr">
        <is>
          <t xml:space="preserve">  Differenz durch Glacifraga (nach Steuern)</t>
        </is>
      </c>
      <c r="B42" s="64" t="n">
        <v>0</v>
      </c>
      <c r="C42" s="64" t="n">
        <v>12600</v>
      </c>
      <c r="D42" s="64" t="n">
        <v>33600</v>
      </c>
    </row>
    <row r="44" ht="72" customHeight="1" s="56">
      <c r="A44" s="61" t="inlineStr">
        <is>
          <t>Fazit: Bereits ohne Glacifraga-Beitrag ist das Modell in allen drei Jahren cashflow-positiv — inklusive Jahr 1 (€20.374), das dank der ALG-I-gestützten Personalkosten-Phasierung von Beginn an einen Überschuss erzielt, statt wie in einer früheren Modellversion einen Fehlbetrag. Jahr 2/3 zeigen deutlich positive, wachsende Cashflows (€100.224 bzw. €181.884), die die ab Jahr 3 beginnende Tilgung (€11.100/Jahr) um ein Vielfaches übersteigen. Glacifraga liefert einen zusätzlichen Cashflow-Puffer von €12.600 (Jahr 2) bzw. €33.600 (Jahr 3) nach Steuern — ein willkommenes Plus, aber kein Bestandteil der Kapitaldienstfähigkeits-Argumentation.</t>
        </is>
      </c>
    </row>
    <row r="45" ht="6" customHeight="1" s="56"/>
    <row r="46" ht="19.5" customHeight="1" s="56">
      <c r="A46" s="59" t="inlineStr">
        <is>
          <t>10.  Offene Punkte vor Einreichung (gelb markiert in "Annahmen")</t>
        </is>
      </c>
      <c r="B46" s="60" t="n"/>
      <c r="C46" s="60" t="n"/>
      <c r="D46" s="60" t="n"/>
    </row>
    <row r="47" ht="15" customHeight="1" s="56">
      <c r="A47" s="61" t="inlineStr">
        <is>
          <t>•  Broker-CPA €150/Vermittlung (Annahmen!B11): Platzhalter — mit tatsächlichem Partnerbroker final verhandeln.</t>
        </is>
      </c>
    </row>
    <row r="48" ht="15" customHeight="1" s="56">
      <c r="A48" s="61" t="inlineStr">
        <is>
          <t>•  AfA-Nutzungsdauer 3 Jahre (Annahmen!B34): final mit dem Steuerberater abstimmen.</t>
        </is>
      </c>
    </row>
    <row r="49" ht="15" customHeight="1" s="56">
      <c r="A49" s="61" t="inlineStr">
        <is>
          <t>•  KfW-Laufzeit/tilgungsfreie Jahre, 10/2 (Annahmen!B44–B45): final mit der Deutsche Bank klären.</t>
        </is>
      </c>
    </row>
    <row r="50" ht="15" customHeight="1" s="56">
      <c r="A50" s="61" t="inlineStr">
        <is>
          <t>•  Effektiver Unternehmenssteuersatz 30% (Annahmen!B50): final mit dem Steuerberater abstimmen.</t>
        </is>
      </c>
    </row>
    <row r="51" ht="15" customHeight="1" s="56">
      <c r="A51" s="61" t="inlineStr">
        <is>
          <t>•  Werbung-Zielwert €3.000/Monat in Monat 36 (Annahmen!B29): Influencer-Budget noch unsicher, ggf. nach unten anpassen.</t>
        </is>
      </c>
    </row>
    <row r="52" ht="57.75" customHeight="1" s="56">
      <c r="A52" s="61" t="inlineStr">
        <is>
          <t>•  GF-Gehalt-Ramp (Annahmen!B20–B21, B58): jetzt direkt aus der Selbstauskunft abgeleitet — ALG I läuft bis Dez-26 (Monat 6), danach Deckungslücke €785/Monat im Haushalt. Der Startwert €1.000/Monat ab Monat 7 enthält einen Puffer von €215 über diesem Minimum und kann bei Bedarf angepasst werden. Werbung-Startwert €600/Monat in Monat 1 (Annahmen!B28) bleibt ein Platzhalter und sollte mit dem 12-Monats-Budget (Kapitalbedarfsplan/Liquiditätsplan, mit denselben Annahmen aufgebaut) final abgestimmt werden.</t>
        </is>
      </c>
    </row>
    <row r="53" ht="6" customHeight="1" s="56"/>
    <row r="54" ht="19.5" customHeight="1" s="56">
      <c r="A54" s="59" t="inlineStr">
        <is>
          <t>11.  UPSIDE-SZENARIO: WHITE-LABEL-LIZENZIERUNG (zusätzlich, nicht im Basismodell enthalten)</t>
        </is>
      </c>
      <c r="B54" s="60" t="n"/>
      <c r="C54" s="60" t="n"/>
      <c r="D54" s="60" t="n"/>
    </row>
    <row r="55" ht="57.75" customHeight="1" s="56">
      <c r="A55" s="61" t="inlineStr">
        <is>
          <t>Eine frühere IBB-Ventures-Pitch enthielt zusätzlich ein White-Label-Lizenzmodell für Retail-Broker (Setup-Gebühr + monatliche Lizenz, zwei aktive Deals bis Jahr 3). Dies ist strukturell verschieden vom CPA-Vermittlungsmodell (Annahmen!B11–B13): Beim White-Label betreibt der Broker Runnr unter eigener Marke — eine deutlich tiefere Integration mit längerem Sales-Zyklus und höherem Betreuungsaufwand als eine einfache Affiliate-Vermittlung.</t>
        </is>
      </c>
    </row>
    <row r="56" ht="43.5" customHeight="1" s="56">
      <c r="A56" s="61" t="inlineStr">
        <is>
          <t>Da hierzu aktuell kein konkreter Interessent vorliegt, ist dieser Umsatz bewusst NICHT in Monatsdetail/Rentabilitaet eingerechnet — die Kernaussage bleibt auf bereits verifizierten Annahmen (Selbstauskunft, Subscriber-Ramp, Glacifraga-Pilot) aufgebaut. Zur Orientierung, falls sich ein Deal konkretisiert:</t>
        </is>
      </c>
    </row>
    <row r="58" ht="15" customHeight="1" s="56">
      <c r="A58" s="62" t="n"/>
      <c r="B58" s="62" t="inlineStr">
        <is>
          <t>Wert</t>
        </is>
      </c>
    </row>
    <row r="59" ht="15" customHeight="1" s="56">
      <c r="A59" s="63" t="inlineStr">
        <is>
          <t>Setup-Gebühr pro Deal (einmalig)</t>
        </is>
      </c>
      <c r="B59" s="64">
        <f>Annahmen!B61</f>
        <v/>
      </c>
    </row>
    <row r="60" ht="15" customHeight="1" s="56">
      <c r="A60" s="63" t="inlineStr">
        <is>
          <t>Laufende Lizenzgebühr pro Deal (Jahres-Run-Rate)</t>
        </is>
      </c>
      <c r="B60" s="64">
        <f>Annahmen!B62*12</f>
        <v/>
      </c>
    </row>
    <row r="61" ht="15" customHeight="1" s="56">
      <c r="A61" s="67" t="inlineStr">
        <is>
          <t>Bei 2 aktiven Deals: Jahres-Run-Rate Umsatz</t>
        </is>
      </c>
      <c r="B61" s="68">
        <f>Annahmen!B62*12*2</f>
        <v/>
      </c>
    </row>
    <row r="62" ht="15" customHeight="1" s="56">
      <c r="A62" s="65" t="inlineStr">
        <is>
          <t xml:space="preserve">  davon nach Steuern (vereinfacht, ohne separate Wareneinsatz)</t>
        </is>
      </c>
      <c r="B62" s="66">
        <f>Annahmen!B62*12*2*(1-Annahmen!B50)</f>
        <v/>
      </c>
    </row>
    <row r="64" ht="57.75" customHeight="1" s="56">
      <c r="A64" s="61" t="inlineStr">
        <is>
          <t>Bei zwei Deals entspräche das einer zusätzlichen Run-Rate von rund €72.000/Jahr Umsatz bzw. ~€50.400/Jahr nach Steuern (vereinfacht, ohne separate Integrations-/Supportkosten) — zuzüglich der einmaligen Setup-Gebühren (2 × €25.000 = €50.000) im Jahr des jeweiligen Vertragsabschlusses. Sollte sich im Lauf von Jahr 2/3 ein konkreter White-Label-Interessent ergeben, kann dieses Szenario in einer aktualisierten Version analog zu Glacifraga als dritte Umsatzquelle in Monatsdetail/Rentabilitaet eingebaut werden.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6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8" customWidth="1" style="55" min="1" max="1"/>
    <col width="14" customWidth="1" style="55" min="2" max="2"/>
    <col width="60" customWidth="1" style="55" min="3" max="3"/>
  </cols>
  <sheetData>
    <row r="1" ht="17.35" customHeight="1" s="56">
      <c r="A1" s="57" t="inlineStr">
        <is>
          <t>ANNAHMEN — Bottom-up-Treiber für die Rentabilitätsvorschau</t>
        </is>
      </c>
    </row>
    <row r="2" ht="15" customHeight="1" s="56">
      <c r="A2" s="69" t="inlineStr">
        <is>
          <t>Blaue Zellen = editierbare Eingaben.  Gelb hinterlegt = Platzhalter, mit deinen echten Zahlen ersetzen.</t>
        </is>
      </c>
    </row>
    <row r="4" ht="15" customHeight="1" s="56">
      <c r="A4" s="59" t="inlineStr">
        <is>
          <t>1.  RUNNR SAAS — PREISE &amp; ABO-MIX</t>
        </is>
      </c>
      <c r="B4" s="60" t="n"/>
      <c r="C4" s="60" t="n"/>
    </row>
    <row r="5" ht="15" customHeight="1" s="56">
      <c r="A5" s="55" t="inlineStr">
        <is>
          <t>Basic-Tarif (€/Monat)</t>
        </is>
      </c>
      <c r="B5" s="70" t="n">
        <v>19</v>
      </c>
    </row>
    <row r="6" ht="15" customHeight="1" s="56">
      <c r="A6" s="55" t="inlineStr">
        <is>
          <t>Pro-Tarif (€/Monat)</t>
        </is>
      </c>
      <c r="B6" s="70" t="n">
        <v>25</v>
      </c>
    </row>
    <row r="7" ht="15" customHeight="1" s="56">
      <c r="A7" s="55" t="inlineStr">
        <is>
          <t>Anteil Pro-Tarif an Neuabos</t>
        </is>
      </c>
      <c r="B7" s="71" t="n">
        <v>0.35</v>
      </c>
    </row>
    <row r="8" ht="15" customHeight="1" s="56">
      <c r="A8" s="72" t="inlineStr">
        <is>
          <t>→ Blended ARPU (€/Monat)</t>
        </is>
      </c>
      <c r="B8" s="73">
        <f>B5*(1-B7)+B6*B7</f>
        <v/>
      </c>
      <c r="C8" s="69" t="inlineStr">
        <is>
          <t>Durchschnittlicher Umsatz pro zahlendem Abo/Monat, gewichtet nach Tarif-Mix</t>
        </is>
      </c>
    </row>
    <row r="10" ht="15" customHeight="1" s="56">
      <c r="A10" s="59" t="inlineStr">
        <is>
          <t>2.  BROKER-PARTNERSCHAFT — Flat-Fee pro Vermittlung (ab "Month 13")</t>
        </is>
      </c>
      <c r="B10" s="60" t="n"/>
      <c r="C10" s="60" t="n"/>
    </row>
    <row r="11" ht="15" customHeight="1" s="56">
      <c r="A11" s="55" t="inlineStr">
        <is>
          <t>CPA-Gebühr pro Vermittlung (€)</t>
        </is>
      </c>
      <c r="B11" s="74" t="n">
        <v>150</v>
      </c>
      <c r="C11" s="69" t="inlineStr">
        <is>
          <t>Platzhalter — typische CFD/FX-Broker-CPA liegt bei €100–300. Mit dem tatsächlichen Partner verhandeln.</t>
        </is>
      </c>
    </row>
    <row r="12" ht="15" customHeight="1" s="56">
      <c r="A12" s="55" t="inlineStr">
        <is>
          <t>Konversionsrate Neuabo → Broker-Signup</t>
        </is>
      </c>
      <c r="B12" s="71" t="n">
        <v>0.2</v>
      </c>
      <c r="C12" s="69" t="inlineStr">
        <is>
          <t>Anteil der monatlichen Netto-Neuabos, die sich zusätzlich beim Partnerbroker registrieren</t>
        </is>
      </c>
    </row>
    <row r="13" ht="15" customHeight="1" s="56">
      <c r="A13" s="55" t="inlineStr">
        <is>
          <t>Startmonat (1–36)</t>
        </is>
      </c>
      <c r="B13" s="75" t="n">
        <v>13</v>
      </c>
      <c r="C13" s="69" t="inlineStr">
        <is>
          <t>Monat 13 = Jahr-2-Monat-1, entspricht dem 'Month-13-Breakeven'-Trigger</t>
        </is>
      </c>
    </row>
    <row r="15" ht="15" customHeight="1" s="56">
      <c r="A15" s="59" t="inlineStr">
        <is>
          <t>3.  WARENEINSATZ (Hosting, Infrastruktur, Plattformgebühren)</t>
        </is>
      </c>
      <c r="B15" s="60" t="n"/>
      <c r="C15" s="60" t="n"/>
    </row>
    <row r="16" ht="15" customHeight="1" s="56">
      <c r="A16" s="55" t="inlineStr">
        <is>
          <t>Whop-Plattformgebühr (% vom Runnr-Umsatz)</t>
        </is>
      </c>
      <c r="B16" s="71" t="n">
        <v>0.1</v>
      </c>
      <c r="C16" s="69" t="inlineStr">
        <is>
          <t>Platzhalter — mit aktuellem Whop-Gebührenmodell abgleichen</t>
        </is>
      </c>
    </row>
    <row r="17" ht="15" customHeight="1" s="56">
      <c r="A17" s="55" t="inlineStr">
        <is>
          <t>Fixe Infrastrukturkosten (€/Monat)</t>
        </is>
      </c>
      <c r="B17" s="70" t="n">
        <v>150</v>
      </c>
      <c r="C17" s="69" t="inlineStr">
        <is>
          <t>Railway-Hosting, Marktdaten-Feeds, Alpaca etc.</t>
        </is>
      </c>
    </row>
    <row r="19" ht="15" customHeight="1" s="56">
      <c r="A19" s="59" t="inlineStr">
        <is>
          <t>4.  PERSONALKOSTEN — Geschäftsführergehalt als linearer Ramp</t>
        </is>
      </c>
      <c r="B19" s="60" t="n"/>
      <c r="C19" s="60" t="n"/>
    </row>
    <row r="20" ht="15" customHeight="1" s="56">
      <c r="A20" s="55" t="inlineStr">
        <is>
          <t>Geschäftsführergehalt ab Monat 7 (Start, €/Monat)</t>
        </is>
      </c>
      <c r="B20" s="70" t="n">
        <v>1000</v>
      </c>
      <c r="C20" s="69" t="inlineStr">
        <is>
          <t>Nach ALG-I-Ende (Annahmen!B58). Laut Selbstauskunft: Haushalt hat Deckungslücke von €785/Monat ohne ALG I — €1.000 = Mindestbedarf + kleiner Puffer.</t>
        </is>
      </c>
    </row>
    <row r="21" ht="15" customHeight="1" s="56">
      <c r="A21" s="55" t="inlineStr">
        <is>
          <t>Geschäftsführergehalt Monat 36 (€/Monat)</t>
        </is>
      </c>
      <c r="B21" s="70" t="n">
        <v>5000</v>
      </c>
      <c r="C21" s="69" t="inlineStr">
        <is>
          <t>Zielwert Ende Jahr 3, unverändert</t>
        </is>
      </c>
    </row>
    <row r="22" ht="15" customHeight="1" s="56">
      <c r="A22" s="55" t="inlineStr">
        <is>
          <t>Freelancer-Honorar Jahr 2 (€/Monat)</t>
        </is>
      </c>
      <c r="B22" s="70" t="n">
        <v>800</v>
      </c>
      <c r="C22" s="69" t="inlineStr">
        <is>
          <t>z.B. Teilzeit-Support/Dev — optional, auf 0 setzen falls nicht geplant</t>
        </is>
      </c>
    </row>
    <row r="23" ht="15" customHeight="1" s="56">
      <c r="A23" s="55" t="inlineStr">
        <is>
          <t>Freelancer-Honorar Jahr 3 (€/Monat)</t>
        </is>
      </c>
      <c r="B23" s="70" t="n">
        <v>1000</v>
      </c>
    </row>
    <row r="24" ht="15" customHeight="1" s="56">
      <c r="A24" s="55" t="inlineStr">
        <is>
          <t>Freelancer Startmonat (1–36)</t>
        </is>
      </c>
      <c r="B24" s="75" t="n">
        <v>500</v>
      </c>
      <c r="C24" s="69" t="inlineStr">
        <is>
          <t>Monat 19 = Jahr-2-Monat-7</t>
        </is>
      </c>
    </row>
    <row r="25">
      <c r="B25" t="n">
        <v>2500</v>
      </c>
    </row>
    <row r="26" ht="15" customHeight="1" s="56">
      <c r="A26" s="59" t="inlineStr">
        <is>
          <t>5.  SONSTIGE BETRIEBSKOSTEN — Werbung als linearer Ramp</t>
        </is>
      </c>
      <c r="B26" s="60" t="n"/>
      <c r="C26" s="60" t="n"/>
    </row>
    <row r="27" ht="15" customHeight="1" s="56">
      <c r="A27" s="55" t="inlineStr">
        <is>
          <t>Miete / Homeoffice-Pauschale (€/Monat)</t>
        </is>
      </c>
      <c r="B27" s="70" t="n">
        <v>150</v>
      </c>
    </row>
    <row r="28" ht="15" customHeight="1" s="56">
      <c r="A28" s="55" t="inlineStr">
        <is>
          <t>Werbung Monat 1 (€/Monat)</t>
        </is>
      </c>
      <c r="B28" s="70" t="n">
        <v>600</v>
      </c>
      <c r="C28" s="69" t="inlineStr">
        <is>
          <t>Startwert — entspricht der ursprünglichen Marketing-Zeile aus dem 12-Monats-Budget</t>
        </is>
      </c>
    </row>
    <row r="29" ht="15" customHeight="1" s="56">
      <c r="A29" s="55" t="inlineStr">
        <is>
          <t>Werbung Monat 36 (€/Monat)</t>
        </is>
      </c>
      <c r="B29" s="74" t="n">
        <v>3000</v>
      </c>
      <c r="C29" s="69" t="inlineStr">
        <is>
          <t>Zielwert am Ende Jahr 3 — lineare Interpolation Monat 1→36 in Monatsdetail. Influencer-Budget noch unsicher.</t>
        </is>
      </c>
    </row>
    <row r="30" ht="15" customHeight="1" s="56">
      <c r="A30" s="55" t="inlineStr">
        <is>
          <t>Buchführung / Steuerberater (€/Monat)</t>
        </is>
      </c>
      <c r="B30" s="70" t="n">
        <v>200</v>
      </c>
    </row>
    <row r="32" ht="15" customHeight="1" s="56">
      <c r="A32" s="59" t="inlineStr">
        <is>
          <t>6.  INVESTITION &amp; ABSCHREIBUNG (AfA)</t>
        </is>
      </c>
      <c r="B32" s="60" t="n"/>
      <c r="C32" s="60" t="n"/>
    </row>
    <row r="33" ht="15" customHeight="1" s="56">
      <c r="A33" s="55" t="inlineStr">
        <is>
          <t>Investitionsvolumen (€)</t>
        </is>
      </c>
      <c r="B33" s="70" t="n">
        <v>40000</v>
      </c>
      <c r="C33" s="69" t="inlineStr">
        <is>
          <t>entspricht dem Investitionsanteil aus dem KfW-Antrag (Software/IP, Infrastruktur, Equipment)</t>
        </is>
      </c>
    </row>
    <row r="34" ht="15" customHeight="1" s="56">
      <c r="A34" s="55" t="inlineStr">
        <is>
          <t>Nutzungsdauer (Jahre)</t>
        </is>
      </c>
      <c r="B34" s="76" t="n">
        <v>3</v>
      </c>
      <c r="C34" s="69" t="inlineStr">
        <is>
          <t>AfA-Tabelle: Software/IT-Equipment i.d.R. 3 Jahre — mit Steuerberater final abstimmen</t>
        </is>
      </c>
    </row>
    <row r="35" ht="15" customHeight="1" s="56">
      <c r="A35" s="72" t="inlineStr">
        <is>
          <t>→ Jährliche AfA (€)</t>
        </is>
      </c>
      <c r="B35" s="77">
        <f>B33/B34</f>
        <v/>
      </c>
    </row>
    <row r="36" ht="15" customHeight="1" s="56">
      <c r="A36" s="72" t="inlineStr">
        <is>
          <t>→ Monatliche AfA (€)</t>
        </is>
      </c>
      <c r="B36" s="73">
        <f>B35/12</f>
        <v/>
      </c>
    </row>
    <row r="38" ht="15" customHeight="1" s="56">
      <c r="A38" s="59" t="inlineStr">
        <is>
          <t>7.  KFW-STARTGELD-DARLEHEN (067)</t>
        </is>
      </c>
      <c r="B38" s="60" t="n">
        <v>120000</v>
      </c>
      <c r="C38" s="60" t="n"/>
    </row>
    <row r="39" ht="15" customHeight="1" s="56">
      <c r="A39" s="55" t="inlineStr">
        <is>
          <t>Auszahlungsbetrag (€)</t>
        </is>
      </c>
      <c r="B39" s="70" t="n">
        <v>120000</v>
      </c>
    </row>
    <row r="40" ht="15" customHeight="1" s="56">
      <c r="A40" s="55" t="inlineStr">
        <is>
          <t>Restsaldo nach ProFIT-Sondertilgung (€)</t>
        </is>
      </c>
      <c r="B40" s="70" t="n">
        <v>0</v>
      </c>
    </row>
    <row r="41" ht="15" customHeight="1" s="56">
      <c r="A41" s="55" t="inlineStr">
        <is>
          <t>Monat der ProFIT-Sondertilgung (1–36)</t>
        </is>
      </c>
      <c r="B41" s="75" t="n">
        <v>6</v>
      </c>
      <c r="C41" s="69" t="inlineStr">
        <is>
          <t>Dezember 2026 = Monat 6</t>
        </is>
      </c>
    </row>
    <row r="42" ht="15" customHeight="1" s="56">
      <c r="A42" s="55" t="inlineStr">
        <is>
          <t>Effektiver Jahreszins</t>
        </is>
      </c>
      <c r="B42" s="78" t="n">
        <v>0.0393</v>
      </c>
      <c r="C42" s="69" t="inlineStr">
        <is>
          <t>Hergeleitet aus den Zinsbeträgen des 12-Monats-Budgets (€556,75/Monat auf €170.000)</t>
        </is>
      </c>
    </row>
    <row r="43" ht="15" customHeight="1" s="56">
      <c r="A43" s="72" t="inlineStr">
        <is>
          <t>→ Monatlicher Zinssatz</t>
        </is>
      </c>
      <c r="B43" s="79">
        <f>B42/12</f>
        <v/>
      </c>
    </row>
    <row r="44" ht="15" customHeight="1" s="56">
      <c r="A44" s="55" t="inlineStr">
        <is>
          <t>Tilgungsfreie Anlaufjahre</t>
        </is>
      </c>
      <c r="B44" s="76" t="n">
        <v>2</v>
      </c>
      <c r="C44" s="69" t="inlineStr">
        <is>
          <t>KfW StartGeld: bis 2 Jahre tilgungsfrei bei 10 Jahren Laufzeit — mit Deutsche Bank final klären</t>
        </is>
      </c>
    </row>
    <row r="45" ht="15" customHeight="1" s="56">
      <c r="A45" s="55" t="inlineStr">
        <is>
          <t>Gesamtlaufzeit (Jahre)</t>
        </is>
      </c>
      <c r="B45" s="76" t="n">
        <v>10</v>
      </c>
    </row>
    <row r="46" ht="15" customHeight="1" s="56">
      <c r="A46" s="72" t="inlineStr">
        <is>
          <t>→ Tilgungsmonate</t>
        </is>
      </c>
      <c r="B46" s="80">
        <f>(B45-B44)*12</f>
        <v/>
      </c>
    </row>
    <row r="47" ht="15" customHeight="1" s="56">
      <c r="A47" s="72" t="inlineStr">
        <is>
          <t>→ Monatliche Tilgung nach Anlaufzeit (€)</t>
        </is>
      </c>
      <c r="B47" s="73">
        <f>B40/B46</f>
        <v/>
      </c>
    </row>
    <row r="49" ht="15" customHeight="1" s="56">
      <c r="A49" s="59" t="inlineStr">
        <is>
          <t>8.  STEUERN</t>
        </is>
      </c>
      <c r="B49" s="60" t="n"/>
      <c r="C49" s="60" t="n"/>
    </row>
    <row r="50" ht="15" customHeight="1" s="56">
      <c r="A50" s="55" t="inlineStr">
        <is>
          <t>Effektiver Unternehmenssteuersatz (KSt 15% + Soli + GewSt)</t>
        </is>
      </c>
      <c r="B50" s="81" t="n">
        <v>0.3</v>
      </c>
      <c r="C50" s="69" t="inlineStr">
        <is>
          <t>Annahme Hebesatz ~380% (Fürstenwalde/Brandenburg) → ~29-30% effektiv. Mit Steuerberater prüfen.</t>
        </is>
      </c>
    </row>
    <row r="52" ht="15" customHeight="1" s="56">
      <c r="A52" s="59" t="inlineStr">
        <is>
          <t>9.  GLACIFRAGA INSTITUTIONAL</t>
        </is>
      </c>
      <c r="B52" s="60" t="n"/>
      <c r="C52" s="60" t="n"/>
    </row>
    <row r="53" ht="15" customHeight="1" s="56">
      <c r="A53" s="69" t="inlineStr">
        <is>
          <t>Umsatz wird direkt monatlich in 'Monatsdetail' Zeile 13 eingegeben (diskrete B2B-Deals, keine Kurve).</t>
        </is>
      </c>
    </row>
    <row r="54" ht="15" customHeight="1" s="56">
      <c r="A54" s="69" t="inlineStr">
        <is>
          <t>Modell: 1 Pilotkunde ab Monat 16 (€2.000/Mon.), 2. Kunde ab Monat 28 (€2.000/Mon.), Kunde 1 steigt ab Monat 25 auf €2.500/Mon.</t>
        </is>
      </c>
    </row>
    <row r="55" ht="15" customHeight="1" s="56">
      <c r="A55" s="69" t="inlineStr">
        <is>
          <t>Bewusst konservativ auf Prop-Firm-Ebene (The5ers/FTMO-Größe) kalibriert, NICHT auf Bank-Großkunden (DB/Commerzbank/DWS) — deren Sales-Zyklen sind länger als 3 Jahre.</t>
        </is>
      </c>
    </row>
    <row r="57" ht="15" customHeight="1" s="56">
      <c r="A57" s="59" t="inlineStr">
        <is>
          <t>10.  PERSONAL-RAMP-TIMING (gemäß Selbstauskunft)</t>
        </is>
      </c>
      <c r="B57" s="60" t="n"/>
      <c r="C57" s="60" t="n"/>
    </row>
    <row r="58" ht="15" customHeight="1" s="56">
      <c r="A58" s="55" t="inlineStr">
        <is>
          <t>ALG-I-Endmonat (1–36)</t>
        </is>
      </c>
      <c r="B58" s="75" t="n">
        <v>6</v>
      </c>
      <c r="C58" s="69" t="inlineStr">
        <is>
          <t>Dez-26 = Monat 6. Bis dahin: GF-Gehalt = €0 (Haushalt selbsttragend via ALG I €2.500 + Kindergeld €500 + Auslandseinkommen €1.400, Überschuss €1.715/Monat, siehe Selbstauskunft). Ab Monat 7: Ramp gemäß B20→B21.</t>
        </is>
      </c>
    </row>
    <row r="60" ht="15" customHeight="1" s="56">
      <c r="A60" s="59" t="inlineStr">
        <is>
          <t>12.  UPSIDE-SZENARIO: WHITE-LABEL-LIZENZIERUNG (separat, NICHT im Basismodell)</t>
        </is>
      </c>
      <c r="B60" s="60" t="n"/>
      <c r="C60" s="60" t="n"/>
    </row>
    <row r="61" ht="15" customHeight="1" s="56">
      <c r="A61" s="55" t="inlineStr">
        <is>
          <t>Setup-Gebühr pro Deal (€, einmalig)</t>
        </is>
      </c>
      <c r="B61" s="70" t="n">
        <v>25000</v>
      </c>
      <c r="C61" s="69" t="inlineStr">
        <is>
          <t>Aus früherem IBB-Ventures-Pitch. Strukturell anders als CPA-Vermittlung (B11-B13): Broker betreibt Runnr unter eigener Marke, tiefere Integration, längerer Sales-Zyklus.</t>
        </is>
      </c>
    </row>
    <row r="62" ht="15" customHeight="1" s="56">
      <c r="A62" s="55" t="inlineStr">
        <is>
          <t>Laufende Lizenzgebühr pro Deal (€/Monat)</t>
        </is>
      </c>
      <c r="B62" s="70" t="n">
        <v>3000</v>
      </c>
      <c r="C62" s="69" t="inlineStr">
        <is>
          <t>Siehe Herleitung Abschnitt 11 für illustrative Hochrechnung. Bewusst nicht in Monatsdetail/Rentabilitaet eingerechnet.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55" min="1" max="1"/>
    <col width="16" customWidth="1" style="55" min="2" max="4"/>
    <col width="50" customWidth="1" style="55" min="5" max="5"/>
  </cols>
  <sheetData>
    <row r="1" ht="17.35" customHeight="1" s="56">
      <c r="A1" s="57" t="inlineStr">
        <is>
          <t>RENTABILITÄTSVORSCHAU — 3 Geschäftsjahre</t>
        </is>
      </c>
    </row>
    <row r="2" ht="15" customHeight="1" s="56">
      <c r="A2" s="69" t="inlineStr">
        <is>
          <t>Jahr 1 = Jul-26–Jun-27 (KfW-Laufzeit) | Jahr 2 = Jul-27–Jun-28 | Jahr 3 = Jul-28–Jun-29</t>
        </is>
      </c>
    </row>
    <row r="4" ht="31.5" customHeight="1" s="56">
      <c r="A4" s="82" t="n"/>
      <c r="B4" s="82" t="inlineStr">
        <is>
          <t>Jahr 1
(Jul-26–Jun-27)</t>
        </is>
      </c>
      <c r="C4" s="82" t="inlineStr">
        <is>
          <t>Jahr 2
(Jul-27–Jun-28)</t>
        </is>
      </c>
      <c r="D4" s="82" t="inlineStr">
        <is>
          <t>Jahr 3
(Jul-28–Jun-29)</t>
        </is>
      </c>
    </row>
    <row r="6" ht="15" customHeight="1" s="56">
      <c r="A6" s="83" t="inlineStr">
        <is>
          <t>Nettoumsatz</t>
        </is>
      </c>
      <c r="B6" s="84" t="n"/>
      <c r="C6" s="84" t="n"/>
      <c r="D6" s="84" t="n"/>
    </row>
    <row r="7" ht="15" customHeight="1" s="56">
      <c r="A7" s="85" t="inlineStr">
        <is>
          <t xml:space="preserve">    Runnr SaaS-Abos</t>
        </is>
      </c>
      <c r="B7" s="86">
        <f>SUM(Monatsdetail!C10:N10)</f>
        <v/>
      </c>
      <c r="C7" s="86">
        <f>SUM(Monatsdetail!O10:Z10)</f>
        <v/>
      </c>
      <c r="D7" s="86">
        <f>SUM(Monatsdetail!AA10:AL10)</f>
        <v/>
      </c>
    </row>
    <row r="8" ht="15" customHeight="1" s="56">
      <c r="A8" s="85" t="inlineStr">
        <is>
          <t xml:space="preserve">    Broker-Vermittlung (CPA)</t>
        </is>
      </c>
      <c r="B8" s="86">
        <f>SUM(Monatsdetail!C12:N12)</f>
        <v/>
      </c>
      <c r="C8" s="86">
        <f>SUM(Monatsdetail!O12:Z12)</f>
        <v/>
      </c>
      <c r="D8" s="86">
        <f>SUM(Monatsdetail!AA12:AL12)</f>
        <v/>
      </c>
    </row>
    <row r="9" ht="15" customHeight="1" s="56">
      <c r="A9" s="85" t="inlineStr">
        <is>
          <t xml:space="preserve">    Glacifraga Institutional</t>
        </is>
      </c>
      <c r="B9" s="86">
        <f>SUM(Monatsdetail!C13:N13)</f>
        <v/>
      </c>
      <c r="C9" s="86">
        <f>SUM(Monatsdetail!O13:Z13)</f>
        <v/>
      </c>
      <c r="D9" s="86">
        <f>SUM(Monatsdetail!AA13:AL13)</f>
        <v/>
      </c>
    </row>
    <row r="10" ht="15" customHeight="1" s="56">
      <c r="A10" s="87" t="inlineStr">
        <is>
          <t>GESAMTUMSATZ</t>
        </is>
      </c>
      <c r="B10" s="88">
        <f>SUM(B7:B9)</f>
        <v/>
      </c>
      <c r="C10" s="88">
        <f>SUM(C7:C9)</f>
        <v/>
      </c>
      <c r="D10" s="88">
        <f>SUM(D7:D9)</f>
        <v/>
      </c>
    </row>
    <row r="11" ht="15" customHeight="1" s="56">
      <c r="A11" s="69" t="inlineStr">
        <is>
          <t xml:space="preserve">  davon: Umsatz-Exit-Run-Rate (letzter Monat × 12)</t>
        </is>
      </c>
      <c r="B11" s="89">
        <f>Monatsdetail!N14*12</f>
        <v/>
      </c>
      <c r="C11" s="89">
        <f>Monatsdetail!Z14*12</f>
        <v/>
      </c>
      <c r="D11" s="89">
        <f>Monatsdetail!AL14*12</f>
        <v/>
      </c>
    </row>
    <row r="13" ht="15" customHeight="1" s="56">
      <c r="A13" s="85" t="inlineStr">
        <is>
          <t xml:space="preserve">    Wareneinsatz</t>
        </is>
      </c>
      <c r="B13" s="86">
        <f>SUM(Monatsdetail!C15:N15)</f>
        <v/>
      </c>
      <c r="C13" s="86">
        <f>SUM(Monatsdetail!O15:Z15)</f>
        <v/>
      </c>
      <c r="D13" s="86">
        <f>SUM(Monatsdetail!AA15:AL15)</f>
        <v/>
      </c>
    </row>
    <row r="14" ht="15" customHeight="1" s="56">
      <c r="A14" s="87" t="inlineStr">
        <is>
          <t>ROHERTRAG</t>
        </is>
      </c>
      <c r="B14" s="88">
        <f>B10-B13</f>
        <v/>
      </c>
      <c r="C14" s="88">
        <f>C10-C13</f>
        <v/>
      </c>
      <c r="D14" s="88">
        <f>D10-D13</f>
        <v/>
      </c>
    </row>
    <row r="16" ht="15" customHeight="1" s="56">
      <c r="A16" s="85" t="inlineStr">
        <is>
          <t xml:space="preserve">    Personal (Geschäftsführergehalt + Freelancer)</t>
        </is>
      </c>
      <c r="B16" s="86">
        <f>SUM(Monatsdetail!C17:N17)</f>
        <v/>
      </c>
      <c r="C16" s="86">
        <f>SUM(Monatsdetail!O17:Z17)</f>
        <v/>
      </c>
      <c r="D16" s="86">
        <f>SUM(Monatsdetail!AA17:AL17)</f>
        <v/>
      </c>
    </row>
    <row r="17" ht="15" customHeight="1" s="56">
      <c r="A17" s="85" t="inlineStr">
        <is>
          <t xml:space="preserve">    Miete / Homeoffice</t>
        </is>
      </c>
      <c r="B17" s="86">
        <f>SUM(Monatsdetail!C18:N18)</f>
        <v/>
      </c>
      <c r="C17" s="86">
        <f>SUM(Monatsdetail!O18:Z18)</f>
        <v/>
      </c>
      <c r="D17" s="86">
        <f>SUM(Monatsdetail!AA18:AL18)</f>
        <v/>
      </c>
    </row>
    <row r="18" ht="15" customHeight="1" s="56">
      <c r="A18" s="85" t="inlineStr">
        <is>
          <t xml:space="preserve">    Werbung</t>
        </is>
      </c>
      <c r="B18" s="86">
        <f>SUM(Monatsdetail!C19:N19)</f>
        <v/>
      </c>
      <c r="C18" s="86">
        <f>SUM(Monatsdetail!O19:Z19)</f>
        <v/>
      </c>
      <c r="D18" s="86">
        <f>SUM(Monatsdetail!AA19:AL19)</f>
        <v/>
      </c>
    </row>
    <row r="19" ht="15" customHeight="1" s="56">
      <c r="A19" s="85" t="inlineStr">
        <is>
          <t xml:space="preserve">    Buchführung / Steuerberater</t>
        </is>
      </c>
      <c r="B19" s="86">
        <f>SUM(Monatsdetail!C20:N20)</f>
        <v/>
      </c>
      <c r="C19" s="86">
        <f>SUM(Monatsdetail!O20:Z20)</f>
        <v/>
      </c>
      <c r="D19" s="86">
        <f>SUM(Monatsdetail!AA20:AL20)</f>
        <v/>
      </c>
    </row>
    <row r="20" ht="15" customHeight="1" s="56">
      <c r="A20" s="85" t="inlineStr">
        <is>
          <t xml:space="preserve">    Abschreibungen</t>
        </is>
      </c>
      <c r="B20" s="86">
        <f>SUM(Monatsdetail!C21:N21)</f>
        <v/>
      </c>
      <c r="C20" s="86">
        <f>SUM(Monatsdetail!O21:Z21)</f>
        <v/>
      </c>
      <c r="D20" s="86">
        <f>SUM(Monatsdetail!AA21:AL21)</f>
        <v/>
      </c>
    </row>
    <row r="21" ht="15" customHeight="1" s="56">
      <c r="A21" s="87" t="inlineStr">
        <is>
          <t>BETRIEBSERGEBNIS (EBIT)</t>
        </is>
      </c>
      <c r="B21" s="88">
        <f>B14-B16-B17-B18-B19-B20</f>
        <v/>
      </c>
      <c r="C21" s="88">
        <f>C14-C16-C17-C18-C19-C20</f>
        <v/>
      </c>
      <c r="D21" s="88">
        <f>D14-D16-D17-D18-D19-D20</f>
        <v/>
      </c>
    </row>
    <row r="23" ht="15" customHeight="1" s="56">
      <c r="A23" s="85" t="inlineStr">
        <is>
          <t xml:space="preserve">    Zinsen (KfW-Darlehen)</t>
        </is>
      </c>
      <c r="B23" s="90">
        <f>SUM(Monatsdetail!C26:N26)</f>
        <v/>
      </c>
      <c r="C23" s="90">
        <f>SUM(Monatsdetail!O26:Z26)</f>
        <v/>
      </c>
      <c r="D23" s="90">
        <f>SUM(Monatsdetail!AA26:AL26)</f>
        <v/>
      </c>
    </row>
    <row r="24" ht="15" customHeight="1" s="56">
      <c r="A24" s="87" t="inlineStr">
        <is>
          <t>EBT (vor Steuern)</t>
        </is>
      </c>
      <c r="B24" s="88">
        <f>B21-B23</f>
        <v/>
      </c>
      <c r="C24" s="88">
        <f>C21-C23</f>
        <v/>
      </c>
      <c r="D24" s="88">
        <f>D21-D23</f>
        <v/>
      </c>
    </row>
    <row r="26" ht="15" customHeight="1" s="56">
      <c r="A26" s="85" t="inlineStr">
        <is>
          <t xml:space="preserve">    Verlustvortrag (Beginn Geschäftsjahr)</t>
        </is>
      </c>
      <c r="B26" s="91" t="n">
        <v>0</v>
      </c>
      <c r="C26" s="91">
        <f>B29</f>
        <v/>
      </c>
      <c r="D26" s="91">
        <f>C29</f>
        <v/>
      </c>
    </row>
    <row r="27" ht="15" customHeight="1" s="56">
      <c r="A27" s="85" t="inlineStr">
        <is>
          <t xml:space="preserve">    Zu versteuerndes Ergebnis</t>
        </is>
      </c>
      <c r="B27" s="91">
        <f>MAX(0,B24-B26)</f>
        <v/>
      </c>
      <c r="C27" s="91">
        <f>MAX(0,C24-C26)</f>
        <v/>
      </c>
      <c r="D27" s="91">
        <f>MAX(0,D24-D26)</f>
        <v/>
      </c>
    </row>
    <row r="28" ht="15" customHeight="1" s="56">
      <c r="A28" s="85" t="inlineStr">
        <is>
          <t xml:space="preserve">    Steuern (Satz: Annahmen!B50)</t>
        </is>
      </c>
      <c r="B28" s="91">
        <f>B27*Annahmen!$B$50</f>
        <v/>
      </c>
      <c r="C28" s="91">
        <f>C27*Annahmen!$B$50</f>
        <v/>
      </c>
      <c r="D28" s="91">
        <f>D27*Annahmen!$B$50</f>
        <v/>
      </c>
    </row>
    <row r="29" ht="15" customHeight="1" s="56">
      <c r="A29" s="85" t="inlineStr">
        <is>
          <t xml:space="preserve">    Verlustvortrag (Ende Geschäftsjahr)</t>
        </is>
      </c>
      <c r="B29" s="91">
        <f>MAX(0,B26-MAX(0,B24))+MAX(0,-B24)</f>
        <v/>
      </c>
      <c r="C29" s="91">
        <f>MAX(0,C26-MAX(0,C24))+MAX(0,-C24)</f>
        <v/>
      </c>
      <c r="D29" s="91">
        <f>MAX(0,D26-MAX(0,D24))+MAX(0,-D24)</f>
        <v/>
      </c>
    </row>
    <row r="30" ht="15" customHeight="1" s="56">
      <c r="A30" s="92" t="inlineStr">
        <is>
          <t>JAHRESÜBERSCHUSS</t>
        </is>
      </c>
      <c r="B30" s="93">
        <f>B24-B28</f>
        <v/>
      </c>
      <c r="C30" s="93">
        <f>C24-C28</f>
        <v/>
      </c>
      <c r="D30" s="93">
        <f>D24-D28</f>
        <v/>
      </c>
    </row>
    <row r="32" ht="15" customHeight="1" s="56">
      <c r="A32" s="85" t="inlineStr">
        <is>
          <t xml:space="preserve">    + Abschreibungen (nicht zahlungswirksam)</t>
        </is>
      </c>
      <c r="B32" s="91">
        <f>B20</f>
        <v/>
      </c>
      <c r="C32" s="91">
        <f>C20</f>
        <v/>
      </c>
      <c r="D32" s="91">
        <f>D20</f>
        <v/>
      </c>
    </row>
    <row r="33" ht="15" customHeight="1" s="56">
      <c r="A33" s="85" t="inlineStr">
        <is>
          <t xml:space="preserve">    - Reguläre Tilgung (Kredit)</t>
        </is>
      </c>
      <c r="B33" s="94">
        <f>SUM(Monatsdetail!C27:N27)</f>
        <v/>
      </c>
      <c r="C33" s="94">
        <f>SUM(Monatsdetail!O27:Z27)</f>
        <v/>
      </c>
      <c r="D33" s="94">
        <f>SUM(Monatsdetail!AA27:AL27)</f>
        <v/>
      </c>
    </row>
    <row r="34" ht="15" customHeight="1" s="56">
      <c r="A34" s="92" t="inlineStr">
        <is>
          <t>VERFÜGBARES EINKOMMEN (Cashflow)</t>
        </is>
      </c>
      <c r="B34" s="93">
        <f>B30+B32-B33</f>
        <v/>
      </c>
      <c r="C34" s="93">
        <f>C30+C32-C33</f>
        <v/>
      </c>
      <c r="D34" s="93">
        <f>D30+D32-D33</f>
        <v/>
      </c>
    </row>
    <row r="36" ht="15" customHeight="1" s="56">
      <c r="A36" s="69" t="inlineStr">
        <is>
          <t xml:space="preserve">    Kreditsaldo Jahresende (€)</t>
        </is>
      </c>
      <c r="B36" s="89">
        <f>Monatsdetail!N28</f>
        <v/>
      </c>
      <c r="C36" s="89">
        <f>Monatsdetail!Z28</f>
        <v/>
      </c>
      <c r="D36" s="89">
        <f>Monatsdetail!AL28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L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8" customWidth="1" style="55" min="1" max="1"/>
    <col width="4" customWidth="1" style="55" min="2" max="2"/>
    <col width="9" customWidth="1" style="55" min="3" max="38"/>
  </cols>
  <sheetData>
    <row r="1" ht="17.35" customHeight="1" s="56">
      <c r="A1" s="57" t="inlineStr">
        <is>
          <t>MONATSDETAIL — 36-Monats-Engine (Jul-26 bis Jun-29)</t>
        </is>
      </c>
    </row>
    <row r="2" ht="15" customHeight="1" s="56">
      <c r="A2" s="69" t="inlineStr">
        <is>
          <t>Grüne Zeilen = Eingaben (editierbar) | Schwarze Zeilen = Formeln, automatisch berechnet</t>
        </is>
      </c>
    </row>
    <row r="4" ht="15" customHeight="1" s="56">
      <c r="A4" s="72" t="inlineStr">
        <is>
          <t>Monat #</t>
        </is>
      </c>
      <c r="C4" s="95" t="n">
        <v>1</v>
      </c>
      <c r="D4" s="95" t="n">
        <v>2</v>
      </c>
      <c r="E4" s="95" t="n">
        <v>3</v>
      </c>
      <c r="F4" s="95" t="n">
        <v>4</v>
      </c>
      <c r="G4" s="95" t="n">
        <v>5</v>
      </c>
      <c r="H4" s="95" t="n">
        <v>6</v>
      </c>
      <c r="I4" s="95" t="n">
        <v>7</v>
      </c>
      <c r="J4" s="95" t="n">
        <v>8</v>
      </c>
      <c r="K4" s="95" t="n">
        <v>9</v>
      </c>
      <c r="L4" s="95" t="n">
        <v>10</v>
      </c>
      <c r="M4" s="95" t="n">
        <v>11</v>
      </c>
      <c r="N4" s="95" t="n">
        <v>12</v>
      </c>
      <c r="O4" s="96" t="n">
        <v>13</v>
      </c>
      <c r="P4" s="96" t="n">
        <v>14</v>
      </c>
      <c r="Q4" s="96" t="n">
        <v>15</v>
      </c>
      <c r="R4" s="96" t="n">
        <v>16</v>
      </c>
      <c r="S4" s="96" t="n">
        <v>17</v>
      </c>
      <c r="T4" s="96" t="n">
        <v>18</v>
      </c>
      <c r="U4" s="96" t="n">
        <v>19</v>
      </c>
      <c r="V4" s="96" t="n">
        <v>20</v>
      </c>
      <c r="W4" s="96" t="n">
        <v>21</v>
      </c>
      <c r="X4" s="96" t="n">
        <v>22</v>
      </c>
      <c r="Y4" s="96" t="n">
        <v>23</v>
      </c>
      <c r="Z4" s="96" t="n">
        <v>24</v>
      </c>
      <c r="AA4" s="97" t="n">
        <v>25</v>
      </c>
      <c r="AB4" s="97" t="n">
        <v>26</v>
      </c>
      <c r="AC4" s="97" t="n">
        <v>27</v>
      </c>
      <c r="AD4" s="97" t="n">
        <v>28</v>
      </c>
      <c r="AE4" s="97" t="n">
        <v>29</v>
      </c>
      <c r="AF4" s="97" t="n">
        <v>30</v>
      </c>
      <c r="AG4" s="97" t="n">
        <v>31</v>
      </c>
      <c r="AH4" s="97" t="n">
        <v>32</v>
      </c>
      <c r="AI4" s="97" t="n">
        <v>33</v>
      </c>
      <c r="AJ4" s="97" t="n">
        <v>34</v>
      </c>
      <c r="AK4" s="97" t="n">
        <v>35</v>
      </c>
      <c r="AL4" s="97" t="n">
        <v>36</v>
      </c>
    </row>
    <row r="5" ht="15" customHeight="1" s="56">
      <c r="A5" s="72" t="inlineStr">
        <is>
          <t>Periode</t>
        </is>
      </c>
      <c r="C5" s="98" t="inlineStr">
        <is>
          <t>Jul-26</t>
        </is>
      </c>
      <c r="D5" s="98" t="inlineStr">
        <is>
          <t>Aug-26</t>
        </is>
      </c>
      <c r="E5" s="98" t="inlineStr">
        <is>
          <t>Sep-26</t>
        </is>
      </c>
      <c r="F5" s="98" t="inlineStr">
        <is>
          <t>Okt-26</t>
        </is>
      </c>
      <c r="G5" s="98" t="inlineStr">
        <is>
          <t>Nov-26</t>
        </is>
      </c>
      <c r="H5" s="98" t="inlineStr">
        <is>
          <t>Dez-26</t>
        </is>
      </c>
      <c r="I5" s="98" t="inlineStr">
        <is>
          <t>Jan-27</t>
        </is>
      </c>
      <c r="J5" s="98" t="inlineStr">
        <is>
          <t>Feb-27</t>
        </is>
      </c>
      <c r="K5" s="98" t="inlineStr">
        <is>
          <t>Mär-27</t>
        </is>
      </c>
      <c r="L5" s="98" t="inlineStr">
        <is>
          <t>Apr-27</t>
        </is>
      </c>
      <c r="M5" s="98" t="inlineStr">
        <is>
          <t>Mai-27</t>
        </is>
      </c>
      <c r="N5" s="98" t="inlineStr">
        <is>
          <t>Jun-27</t>
        </is>
      </c>
      <c r="O5" s="99" t="inlineStr">
        <is>
          <t>Jul-27</t>
        </is>
      </c>
      <c r="P5" s="99" t="inlineStr">
        <is>
          <t>Aug-27</t>
        </is>
      </c>
      <c r="Q5" s="99" t="inlineStr">
        <is>
          <t>Sep-27</t>
        </is>
      </c>
      <c r="R5" s="99" t="inlineStr">
        <is>
          <t>Okt-27</t>
        </is>
      </c>
      <c r="S5" s="99" t="inlineStr">
        <is>
          <t>Nov-27</t>
        </is>
      </c>
      <c r="T5" s="99" t="inlineStr">
        <is>
          <t>Dez-27</t>
        </is>
      </c>
      <c r="U5" s="99" t="inlineStr">
        <is>
          <t>Jan-28</t>
        </is>
      </c>
      <c r="V5" s="99" t="inlineStr">
        <is>
          <t>Feb-28</t>
        </is>
      </c>
      <c r="W5" s="99" t="inlineStr">
        <is>
          <t>Mär-28</t>
        </is>
      </c>
      <c r="X5" s="99" t="inlineStr">
        <is>
          <t>Apr-28</t>
        </is>
      </c>
      <c r="Y5" s="99" t="inlineStr">
        <is>
          <t>Mai-28</t>
        </is>
      </c>
      <c r="Z5" s="99" t="inlineStr">
        <is>
          <t>Jun-28</t>
        </is>
      </c>
      <c r="AA5" s="100" t="inlineStr">
        <is>
          <t>Jul-28</t>
        </is>
      </c>
      <c r="AB5" s="100" t="inlineStr">
        <is>
          <t>Aug-28</t>
        </is>
      </c>
      <c r="AC5" s="100" t="inlineStr">
        <is>
          <t>Sep-28</t>
        </is>
      </c>
      <c r="AD5" s="100" t="inlineStr">
        <is>
          <t>Okt-28</t>
        </is>
      </c>
      <c r="AE5" s="100" t="inlineStr">
        <is>
          <t>Nov-28</t>
        </is>
      </c>
      <c r="AF5" s="100" t="inlineStr">
        <is>
          <t>Dez-28</t>
        </is>
      </c>
      <c r="AG5" s="100" t="inlineStr">
        <is>
          <t>Jan-29</t>
        </is>
      </c>
      <c r="AH5" s="100" t="inlineStr">
        <is>
          <t>Feb-29</t>
        </is>
      </c>
      <c r="AI5" s="100" t="inlineStr">
        <is>
          <t>Mär-29</t>
        </is>
      </c>
      <c r="AJ5" s="100" t="inlineStr">
        <is>
          <t>Apr-29</t>
        </is>
      </c>
      <c r="AK5" s="100" t="inlineStr">
        <is>
          <t>Mai-29</t>
        </is>
      </c>
      <c r="AL5" s="100" t="inlineStr">
        <is>
          <t>Jun-29</t>
        </is>
      </c>
    </row>
    <row r="6" ht="15" customHeight="1" s="56">
      <c r="A6" s="72" t="inlineStr">
        <is>
          <t>Geschäftsjahr</t>
        </is>
      </c>
      <c r="C6" s="101" t="inlineStr">
        <is>
          <t>Jahr 1</t>
        </is>
      </c>
      <c r="D6" s="101" t="inlineStr">
        <is>
          <t>Jahr 1</t>
        </is>
      </c>
      <c r="E6" s="101" t="inlineStr">
        <is>
          <t>Jahr 1</t>
        </is>
      </c>
      <c r="F6" s="101" t="inlineStr">
        <is>
          <t>Jahr 1</t>
        </is>
      </c>
      <c r="G6" s="101" t="inlineStr">
        <is>
          <t>Jahr 1</t>
        </is>
      </c>
      <c r="H6" s="101" t="inlineStr">
        <is>
          <t>Jahr 1</t>
        </is>
      </c>
      <c r="I6" s="101" t="inlineStr">
        <is>
          <t>Jahr 1</t>
        </is>
      </c>
      <c r="J6" s="101" t="inlineStr">
        <is>
          <t>Jahr 1</t>
        </is>
      </c>
      <c r="K6" s="101" t="inlineStr">
        <is>
          <t>Jahr 1</t>
        </is>
      </c>
      <c r="L6" s="101" t="inlineStr">
        <is>
          <t>Jahr 1</t>
        </is>
      </c>
      <c r="M6" s="101" t="inlineStr">
        <is>
          <t>Jahr 1</t>
        </is>
      </c>
      <c r="N6" s="101" t="inlineStr">
        <is>
          <t>Jahr 1</t>
        </is>
      </c>
      <c r="O6" s="102" t="inlineStr">
        <is>
          <t>Jahr 2</t>
        </is>
      </c>
      <c r="P6" s="102" t="inlineStr">
        <is>
          <t>Jahr 2</t>
        </is>
      </c>
      <c r="Q6" s="102" t="inlineStr">
        <is>
          <t>Jahr 2</t>
        </is>
      </c>
      <c r="R6" s="102" t="inlineStr">
        <is>
          <t>Jahr 2</t>
        </is>
      </c>
      <c r="S6" s="102" t="inlineStr">
        <is>
          <t>Jahr 2</t>
        </is>
      </c>
      <c r="T6" s="102" t="inlineStr">
        <is>
          <t>Jahr 2</t>
        </is>
      </c>
      <c r="U6" s="102" t="inlineStr">
        <is>
          <t>Jahr 2</t>
        </is>
      </c>
      <c r="V6" s="102" t="inlineStr">
        <is>
          <t>Jahr 2</t>
        </is>
      </c>
      <c r="W6" s="102" t="inlineStr">
        <is>
          <t>Jahr 2</t>
        </is>
      </c>
      <c r="X6" s="102" t="inlineStr">
        <is>
          <t>Jahr 2</t>
        </is>
      </c>
      <c r="Y6" s="102" t="inlineStr">
        <is>
          <t>Jahr 2</t>
        </is>
      </c>
      <c r="Z6" s="102" t="inlineStr">
        <is>
          <t>Jahr 2</t>
        </is>
      </c>
      <c r="AA6" s="103" t="inlineStr">
        <is>
          <t>Jahr 3</t>
        </is>
      </c>
      <c r="AB6" s="103" t="inlineStr">
        <is>
          <t>Jahr 3</t>
        </is>
      </c>
      <c r="AC6" s="103" t="inlineStr">
        <is>
          <t>Jahr 3</t>
        </is>
      </c>
      <c r="AD6" s="103" t="inlineStr">
        <is>
          <t>Jahr 3</t>
        </is>
      </c>
      <c r="AE6" s="103" t="inlineStr">
        <is>
          <t>Jahr 3</t>
        </is>
      </c>
      <c r="AF6" s="103" t="inlineStr">
        <is>
          <t>Jahr 3</t>
        </is>
      </c>
      <c r="AG6" s="103" t="inlineStr">
        <is>
          <t>Jahr 3</t>
        </is>
      </c>
      <c r="AH6" s="103" t="inlineStr">
        <is>
          <t>Jahr 3</t>
        </is>
      </c>
      <c r="AI6" s="103" t="inlineStr">
        <is>
          <t>Jahr 3</t>
        </is>
      </c>
      <c r="AJ6" s="103" t="inlineStr">
        <is>
          <t>Jahr 3</t>
        </is>
      </c>
      <c r="AK6" s="103" t="inlineStr">
        <is>
          <t>Jahr 3</t>
        </is>
      </c>
      <c r="AL6" s="103" t="inlineStr">
        <is>
          <t>Jahr 3</t>
        </is>
      </c>
    </row>
    <row r="8" ht="15" customHeight="1" s="56">
      <c r="A8" s="104" t="inlineStr">
        <is>
          <t>Netto-Neuzugänge zahlende Abos (Stk.)</t>
        </is>
      </c>
      <c r="C8" s="105" t="n">
        <v>10</v>
      </c>
      <c r="D8" s="105" t="n">
        <v>15</v>
      </c>
      <c r="E8" s="105" t="n">
        <v>20</v>
      </c>
      <c r="F8" s="105" t="n">
        <v>30</v>
      </c>
      <c r="G8" s="105" t="n">
        <v>40</v>
      </c>
      <c r="H8" s="105" t="n">
        <v>50</v>
      </c>
      <c r="I8" s="105" t="n">
        <v>60</v>
      </c>
      <c r="J8" s="105" t="n">
        <v>65</v>
      </c>
      <c r="K8" s="105" t="n">
        <v>65</v>
      </c>
      <c r="L8" s="105" t="n">
        <v>60</v>
      </c>
      <c r="M8" s="105" t="n">
        <v>50</v>
      </c>
      <c r="N8" s="105" t="n">
        <v>35</v>
      </c>
      <c r="O8" s="105" t="n">
        <v>45</v>
      </c>
      <c r="P8" s="105" t="n">
        <v>45</v>
      </c>
      <c r="Q8" s="105" t="n">
        <v>45</v>
      </c>
      <c r="R8" s="105" t="n">
        <v>45</v>
      </c>
      <c r="S8" s="105" t="n">
        <v>42</v>
      </c>
      <c r="T8" s="105" t="n">
        <v>42</v>
      </c>
      <c r="U8" s="105" t="n">
        <v>42</v>
      </c>
      <c r="V8" s="105" t="n">
        <v>42</v>
      </c>
      <c r="W8" s="105" t="n">
        <v>40</v>
      </c>
      <c r="X8" s="105" t="n">
        <v>40</v>
      </c>
      <c r="Y8" s="105" t="n">
        <v>40</v>
      </c>
      <c r="Z8" s="105" t="n">
        <v>40</v>
      </c>
      <c r="AA8" s="105" t="n">
        <v>70</v>
      </c>
      <c r="AB8" s="105" t="n">
        <v>70</v>
      </c>
      <c r="AC8" s="105" t="n">
        <v>72</v>
      </c>
      <c r="AD8" s="105" t="n">
        <v>72</v>
      </c>
      <c r="AE8" s="105" t="n">
        <v>75</v>
      </c>
      <c r="AF8" s="105" t="n">
        <v>75</v>
      </c>
      <c r="AG8" s="105" t="n">
        <v>78</v>
      </c>
      <c r="AH8" s="105" t="n">
        <v>78</v>
      </c>
      <c r="AI8" s="105" t="n">
        <v>80</v>
      </c>
      <c r="AJ8" s="105" t="n">
        <v>80</v>
      </c>
      <c r="AK8" s="105" t="n">
        <v>82</v>
      </c>
      <c r="AL8" s="105" t="n">
        <v>82</v>
      </c>
    </row>
    <row r="9" ht="15" customHeight="1" s="56">
      <c r="A9" s="85" t="inlineStr">
        <is>
          <t>Kumulierte zahlende Abos (Stk.)</t>
        </is>
      </c>
      <c r="C9" s="106">
        <f>C8</f>
        <v/>
      </c>
      <c r="D9" s="106">
        <f>C9+D8</f>
        <v/>
      </c>
      <c r="E9" s="106">
        <f>D9+E8</f>
        <v/>
      </c>
      <c r="F9" s="106">
        <f>E9+F8</f>
        <v/>
      </c>
      <c r="G9" s="106">
        <f>F9+G8</f>
        <v/>
      </c>
      <c r="H9" s="106">
        <f>G9+H8</f>
        <v/>
      </c>
      <c r="I9" s="106">
        <f>H9+I8</f>
        <v/>
      </c>
      <c r="J9" s="106">
        <f>I9+J8</f>
        <v/>
      </c>
      <c r="K9" s="106">
        <f>J9+K8</f>
        <v/>
      </c>
      <c r="L9" s="106">
        <f>K9+L8</f>
        <v/>
      </c>
      <c r="M9" s="106">
        <f>L9+M8</f>
        <v/>
      </c>
      <c r="N9" s="106">
        <f>M9+N8</f>
        <v/>
      </c>
      <c r="O9" s="106">
        <f>N9+O8</f>
        <v/>
      </c>
      <c r="P9" s="106">
        <f>O9+P8</f>
        <v/>
      </c>
      <c r="Q9" s="106">
        <f>P9+Q8</f>
        <v/>
      </c>
      <c r="R9" s="106">
        <f>Q9+R8</f>
        <v/>
      </c>
      <c r="S9" s="106">
        <f>R9+S8</f>
        <v/>
      </c>
      <c r="T9" s="106">
        <f>S9+T8</f>
        <v/>
      </c>
      <c r="U9" s="106">
        <f>T9+U8</f>
        <v/>
      </c>
      <c r="V9" s="106">
        <f>U9+V8</f>
        <v/>
      </c>
      <c r="W9" s="106">
        <f>V9+W8</f>
        <v/>
      </c>
      <c r="X9" s="106">
        <f>W9+X8</f>
        <v/>
      </c>
      <c r="Y9" s="106">
        <f>X9+Y8</f>
        <v/>
      </c>
      <c r="Z9" s="106">
        <f>Y9+Z8</f>
        <v/>
      </c>
      <c r="AA9" s="106">
        <f>Z9+AA8</f>
        <v/>
      </c>
      <c r="AB9" s="106">
        <f>AA9+AB8</f>
        <v/>
      </c>
      <c r="AC9" s="106">
        <f>AB9+AC8</f>
        <v/>
      </c>
      <c r="AD9" s="106">
        <f>AC9+AD8</f>
        <v/>
      </c>
      <c r="AE9" s="106">
        <f>AD9+AE8</f>
        <v/>
      </c>
      <c r="AF9" s="106">
        <f>AE9+AF8</f>
        <v/>
      </c>
      <c r="AG9" s="106">
        <f>AF9+AG8</f>
        <v/>
      </c>
      <c r="AH9" s="106">
        <f>AG9+AH8</f>
        <v/>
      </c>
      <c r="AI9" s="106">
        <f>AH9+AI8</f>
        <v/>
      </c>
      <c r="AJ9" s="106">
        <f>AI9+AJ8</f>
        <v/>
      </c>
      <c r="AK9" s="106">
        <f>AJ9+AK8</f>
        <v/>
      </c>
      <c r="AL9" s="106">
        <f>AK9+AL8</f>
        <v/>
      </c>
    </row>
    <row r="10" ht="15" customHeight="1" s="56">
      <c r="A10" s="85" t="inlineStr">
        <is>
          <t>Runnr SaaS-Umsatz (€)</t>
        </is>
      </c>
      <c r="C10" s="107">
        <f>C9*Annahmen!$B$8</f>
        <v/>
      </c>
      <c r="D10" s="107">
        <f>D9*Annahmen!$B$8</f>
        <v/>
      </c>
      <c r="E10" s="107">
        <f>E9*Annahmen!$B$8</f>
        <v/>
      </c>
      <c r="F10" s="107">
        <f>F9*Annahmen!$B$8</f>
        <v/>
      </c>
      <c r="G10" s="107">
        <f>G9*Annahmen!$B$8</f>
        <v/>
      </c>
      <c r="H10" s="107">
        <f>H9*Annahmen!$B$8</f>
        <v/>
      </c>
      <c r="I10" s="107">
        <f>I9*Annahmen!$B$8</f>
        <v/>
      </c>
      <c r="J10" s="107">
        <f>J9*Annahmen!$B$8</f>
        <v/>
      </c>
      <c r="K10" s="107">
        <f>K9*Annahmen!$B$8</f>
        <v/>
      </c>
      <c r="L10" s="107">
        <f>L9*Annahmen!$B$8</f>
        <v/>
      </c>
      <c r="M10" s="107">
        <f>M9*Annahmen!$B$8</f>
        <v/>
      </c>
      <c r="N10" s="107">
        <f>N9*Annahmen!$B$8</f>
        <v/>
      </c>
      <c r="O10" s="107">
        <f>O9*Annahmen!$B$8</f>
        <v/>
      </c>
      <c r="P10" s="107">
        <f>P9*Annahmen!$B$8</f>
        <v/>
      </c>
      <c r="Q10" s="107">
        <f>Q9*Annahmen!$B$8</f>
        <v/>
      </c>
      <c r="R10" s="107">
        <f>R9*Annahmen!$B$8</f>
        <v/>
      </c>
      <c r="S10" s="107">
        <f>S9*Annahmen!$B$8</f>
        <v/>
      </c>
      <c r="T10" s="107">
        <f>T9*Annahmen!$B$8</f>
        <v/>
      </c>
      <c r="U10" s="107">
        <f>U9*Annahmen!$B$8</f>
        <v/>
      </c>
      <c r="V10" s="107">
        <f>V9*Annahmen!$B$8</f>
        <v/>
      </c>
      <c r="W10" s="107">
        <f>W9*Annahmen!$B$8</f>
        <v/>
      </c>
      <c r="X10" s="107">
        <f>X9*Annahmen!$B$8</f>
        <v/>
      </c>
      <c r="Y10" s="107">
        <f>Y9*Annahmen!$B$8</f>
        <v/>
      </c>
      <c r="Z10" s="107">
        <f>Z9*Annahmen!$B$8</f>
        <v/>
      </c>
      <c r="AA10" s="107">
        <f>AA9*Annahmen!$B$8</f>
        <v/>
      </c>
      <c r="AB10" s="107">
        <f>AB9*Annahmen!$B$8</f>
        <v/>
      </c>
      <c r="AC10" s="107">
        <f>AC9*Annahmen!$B$8</f>
        <v/>
      </c>
      <c r="AD10" s="107">
        <f>AD9*Annahmen!$B$8</f>
        <v/>
      </c>
      <c r="AE10" s="107">
        <f>AE9*Annahmen!$B$8</f>
        <v/>
      </c>
      <c r="AF10" s="107">
        <f>AF9*Annahmen!$B$8</f>
        <v/>
      </c>
      <c r="AG10" s="107">
        <f>AG9*Annahmen!$B$8</f>
        <v/>
      </c>
      <c r="AH10" s="107">
        <f>AH9*Annahmen!$B$8</f>
        <v/>
      </c>
      <c r="AI10" s="107">
        <f>AI9*Annahmen!$B$8</f>
        <v/>
      </c>
      <c r="AJ10" s="107">
        <f>AJ9*Annahmen!$B$8</f>
        <v/>
      </c>
      <c r="AK10" s="107">
        <f>AK9*Annahmen!$B$8</f>
        <v/>
      </c>
      <c r="AL10" s="107">
        <f>AL9*Annahmen!$B$8</f>
        <v/>
      </c>
    </row>
    <row r="11" ht="15" customHeight="1" s="56">
      <c r="A11" s="85" t="inlineStr">
        <is>
          <t>Broker-Vermittlungen (Stk.)</t>
        </is>
      </c>
      <c r="C11" s="108">
        <f>IF(C4&gt;=Annahmen!$B$13,C8*Annahmen!$B$12,0)</f>
        <v/>
      </c>
      <c r="D11" s="108">
        <f>IF(D4&gt;=Annahmen!$B$13,D8*Annahmen!$B$12,0)</f>
        <v/>
      </c>
      <c r="E11" s="108">
        <f>IF(E4&gt;=Annahmen!$B$13,E8*Annahmen!$B$12,0)</f>
        <v/>
      </c>
      <c r="F11" s="108">
        <f>IF(F4&gt;=Annahmen!$B$13,F8*Annahmen!$B$12,0)</f>
        <v/>
      </c>
      <c r="G11" s="108">
        <f>IF(G4&gt;=Annahmen!$B$13,G8*Annahmen!$B$12,0)</f>
        <v/>
      </c>
      <c r="H11" s="108">
        <f>IF(H4&gt;=Annahmen!$B$13,H8*Annahmen!$B$12,0)</f>
        <v/>
      </c>
      <c r="I11" s="108">
        <f>IF(I4&gt;=Annahmen!$B$13,I8*Annahmen!$B$12,0)</f>
        <v/>
      </c>
      <c r="J11" s="108">
        <f>IF(J4&gt;=Annahmen!$B$13,J8*Annahmen!$B$12,0)</f>
        <v/>
      </c>
      <c r="K11" s="108">
        <f>IF(K4&gt;=Annahmen!$B$13,K8*Annahmen!$B$12,0)</f>
        <v/>
      </c>
      <c r="L11" s="108">
        <f>IF(L4&gt;=Annahmen!$B$13,L8*Annahmen!$B$12,0)</f>
        <v/>
      </c>
      <c r="M11" s="108">
        <f>IF(M4&gt;=Annahmen!$B$13,M8*Annahmen!$B$12,0)</f>
        <v/>
      </c>
      <c r="N11" s="108">
        <f>IF(N4&gt;=Annahmen!$B$13,N8*Annahmen!$B$12,0)</f>
        <v/>
      </c>
      <c r="O11" s="108">
        <f>IF(O4&gt;=Annahmen!$B$13,O8*Annahmen!$B$12,0)</f>
        <v/>
      </c>
      <c r="P11" s="108">
        <f>IF(P4&gt;=Annahmen!$B$13,P8*Annahmen!$B$12,0)</f>
        <v/>
      </c>
      <c r="Q11" s="108">
        <f>IF(Q4&gt;=Annahmen!$B$13,Q8*Annahmen!$B$12,0)</f>
        <v/>
      </c>
      <c r="R11" s="108">
        <f>IF(R4&gt;=Annahmen!$B$13,R8*Annahmen!$B$12,0)</f>
        <v/>
      </c>
      <c r="S11" s="108">
        <f>IF(S4&gt;=Annahmen!$B$13,S8*Annahmen!$B$12,0)</f>
        <v/>
      </c>
      <c r="T11" s="108">
        <f>IF(T4&gt;=Annahmen!$B$13,T8*Annahmen!$B$12,0)</f>
        <v/>
      </c>
      <c r="U11" s="108">
        <f>IF(U4&gt;=Annahmen!$B$13,U8*Annahmen!$B$12,0)</f>
        <v/>
      </c>
      <c r="V11" s="108">
        <f>IF(V4&gt;=Annahmen!$B$13,V8*Annahmen!$B$12,0)</f>
        <v/>
      </c>
      <c r="W11" s="108">
        <f>IF(W4&gt;=Annahmen!$B$13,W8*Annahmen!$B$12,0)</f>
        <v/>
      </c>
      <c r="X11" s="108">
        <f>IF(X4&gt;=Annahmen!$B$13,X8*Annahmen!$B$12,0)</f>
        <v/>
      </c>
      <c r="Y11" s="108">
        <f>IF(Y4&gt;=Annahmen!$B$13,Y8*Annahmen!$B$12,0)</f>
        <v/>
      </c>
      <c r="Z11" s="108">
        <f>IF(Z4&gt;=Annahmen!$B$13,Z8*Annahmen!$B$12,0)</f>
        <v/>
      </c>
      <c r="AA11" s="108">
        <f>IF(AA4&gt;=Annahmen!$B$13,AA8*Annahmen!$B$12,0)</f>
        <v/>
      </c>
      <c r="AB11" s="108">
        <f>IF(AB4&gt;=Annahmen!$B$13,AB8*Annahmen!$B$12,0)</f>
        <v/>
      </c>
      <c r="AC11" s="108">
        <f>IF(AC4&gt;=Annahmen!$B$13,AC8*Annahmen!$B$12,0)</f>
        <v/>
      </c>
      <c r="AD11" s="108">
        <f>IF(AD4&gt;=Annahmen!$B$13,AD8*Annahmen!$B$12,0)</f>
        <v/>
      </c>
      <c r="AE11" s="108">
        <f>IF(AE4&gt;=Annahmen!$B$13,AE8*Annahmen!$B$12,0)</f>
        <v/>
      </c>
      <c r="AF11" s="108">
        <f>IF(AF4&gt;=Annahmen!$B$13,AF8*Annahmen!$B$12,0)</f>
        <v/>
      </c>
      <c r="AG11" s="108">
        <f>IF(AG4&gt;=Annahmen!$B$13,AG8*Annahmen!$B$12,0)</f>
        <v/>
      </c>
      <c r="AH11" s="108">
        <f>IF(AH4&gt;=Annahmen!$B$13,AH8*Annahmen!$B$12,0)</f>
        <v/>
      </c>
      <c r="AI11" s="108">
        <f>IF(AI4&gt;=Annahmen!$B$13,AI8*Annahmen!$B$12,0)</f>
        <v/>
      </c>
      <c r="AJ11" s="108">
        <f>IF(AJ4&gt;=Annahmen!$B$13,AJ8*Annahmen!$B$12,0)</f>
        <v/>
      </c>
      <c r="AK11" s="108">
        <f>IF(AK4&gt;=Annahmen!$B$13,AK8*Annahmen!$B$12,0)</f>
        <v/>
      </c>
      <c r="AL11" s="108">
        <f>IF(AL4&gt;=Annahmen!$B$13,AL8*Annahmen!$B$12,0)</f>
        <v/>
      </c>
    </row>
    <row r="12" ht="15" customHeight="1" s="56">
      <c r="A12" s="85" t="inlineStr">
        <is>
          <t>Broker-Umsatz (€)</t>
        </is>
      </c>
      <c r="C12" s="107">
        <f>C11*Annahmen!$B$11</f>
        <v/>
      </c>
      <c r="D12" s="107">
        <f>D11*Annahmen!$B$11</f>
        <v/>
      </c>
      <c r="E12" s="107">
        <f>E11*Annahmen!$B$11</f>
        <v/>
      </c>
      <c r="F12" s="107">
        <f>F11*Annahmen!$B$11</f>
        <v/>
      </c>
      <c r="G12" s="107">
        <f>G11*Annahmen!$B$11</f>
        <v/>
      </c>
      <c r="H12" s="107">
        <f>H11*Annahmen!$B$11</f>
        <v/>
      </c>
      <c r="I12" s="107">
        <f>I11*Annahmen!$B$11</f>
        <v/>
      </c>
      <c r="J12" s="107">
        <f>J11*Annahmen!$B$11</f>
        <v/>
      </c>
      <c r="K12" s="107">
        <f>K11*Annahmen!$B$11</f>
        <v/>
      </c>
      <c r="L12" s="107">
        <f>L11*Annahmen!$B$11</f>
        <v/>
      </c>
      <c r="M12" s="107">
        <f>M11*Annahmen!$B$11</f>
        <v/>
      </c>
      <c r="N12" s="107">
        <f>N11*Annahmen!$B$11</f>
        <v/>
      </c>
      <c r="O12" s="107">
        <f>O11*Annahmen!$B$11</f>
        <v/>
      </c>
      <c r="P12" s="107">
        <f>P11*Annahmen!$B$11</f>
        <v/>
      </c>
      <c r="Q12" s="107">
        <f>Q11*Annahmen!$B$11</f>
        <v/>
      </c>
      <c r="R12" s="107">
        <f>R11*Annahmen!$B$11</f>
        <v/>
      </c>
      <c r="S12" s="107">
        <f>S11*Annahmen!$B$11</f>
        <v/>
      </c>
      <c r="T12" s="107">
        <f>T11*Annahmen!$B$11</f>
        <v/>
      </c>
      <c r="U12" s="107">
        <f>U11*Annahmen!$B$11</f>
        <v/>
      </c>
      <c r="V12" s="107">
        <f>V11*Annahmen!$B$11</f>
        <v/>
      </c>
      <c r="W12" s="107">
        <f>W11*Annahmen!$B$11</f>
        <v/>
      </c>
      <c r="X12" s="107">
        <f>X11*Annahmen!$B$11</f>
        <v/>
      </c>
      <c r="Y12" s="107">
        <f>Y11*Annahmen!$B$11</f>
        <v/>
      </c>
      <c r="Z12" s="107">
        <f>Z11*Annahmen!$B$11</f>
        <v/>
      </c>
      <c r="AA12" s="107">
        <f>AA11*Annahmen!$B$11</f>
        <v/>
      </c>
      <c r="AB12" s="107">
        <f>AB11*Annahmen!$B$11</f>
        <v/>
      </c>
      <c r="AC12" s="107">
        <f>AC11*Annahmen!$B$11</f>
        <v/>
      </c>
      <c r="AD12" s="107">
        <f>AD11*Annahmen!$B$11</f>
        <v/>
      </c>
      <c r="AE12" s="107">
        <f>AE11*Annahmen!$B$11</f>
        <v/>
      </c>
      <c r="AF12" s="107">
        <f>AF11*Annahmen!$B$11</f>
        <v/>
      </c>
      <c r="AG12" s="107">
        <f>AG11*Annahmen!$B$11</f>
        <v/>
      </c>
      <c r="AH12" s="107">
        <f>AH11*Annahmen!$B$11</f>
        <v/>
      </c>
      <c r="AI12" s="107">
        <f>AI11*Annahmen!$B$11</f>
        <v/>
      </c>
      <c r="AJ12" s="107">
        <f>AJ11*Annahmen!$B$11</f>
        <v/>
      </c>
      <c r="AK12" s="107">
        <f>AK11*Annahmen!$B$11</f>
        <v/>
      </c>
      <c r="AL12" s="107">
        <f>AL11*Annahmen!$B$11</f>
        <v/>
      </c>
    </row>
    <row r="13" ht="15" customHeight="1" s="56">
      <c r="A13" s="104" t="inlineStr">
        <is>
          <t>Glacifraga-Umsatz (€)</t>
        </is>
      </c>
      <c r="C13" s="86" t="n">
        <v>0</v>
      </c>
      <c r="D13" s="86" t="n">
        <v>0</v>
      </c>
      <c r="E13" s="86" t="n">
        <v>0</v>
      </c>
      <c r="F13" s="86" t="n">
        <v>0</v>
      </c>
      <c r="G13" s="86" t="n">
        <v>0</v>
      </c>
      <c r="H13" s="86" t="n">
        <v>0</v>
      </c>
      <c r="I13" s="86" t="n">
        <v>0</v>
      </c>
      <c r="J13" s="86" t="n">
        <v>0</v>
      </c>
      <c r="K13" s="86" t="n">
        <v>0</v>
      </c>
      <c r="L13" s="86" t="n">
        <v>0</v>
      </c>
      <c r="M13" s="86" t="n">
        <v>0</v>
      </c>
      <c r="N13" s="86" t="n">
        <v>0</v>
      </c>
      <c r="O13" s="86" t="n">
        <v>0</v>
      </c>
      <c r="P13" s="86" t="n">
        <v>0</v>
      </c>
      <c r="Q13" s="86" t="n">
        <v>0</v>
      </c>
      <c r="R13" s="86" t="n">
        <v>2000</v>
      </c>
      <c r="S13" s="86" t="n">
        <v>2000</v>
      </c>
      <c r="T13" s="86" t="n">
        <v>2000</v>
      </c>
      <c r="U13" s="86" t="n">
        <v>2000</v>
      </c>
      <c r="V13" s="86" t="n">
        <v>2000</v>
      </c>
      <c r="W13" s="86" t="n">
        <v>2000</v>
      </c>
      <c r="X13" s="86" t="n">
        <v>2000</v>
      </c>
      <c r="Y13" s="86" t="n">
        <v>2000</v>
      </c>
      <c r="Z13" s="86" t="n">
        <v>2000</v>
      </c>
      <c r="AA13" s="86" t="n">
        <v>2500</v>
      </c>
      <c r="AB13" s="86" t="n">
        <v>2500</v>
      </c>
      <c r="AC13" s="86" t="n">
        <v>2500</v>
      </c>
      <c r="AD13" s="86" t="n">
        <v>4500</v>
      </c>
      <c r="AE13" s="86" t="n">
        <v>4500</v>
      </c>
      <c r="AF13" s="86" t="n">
        <v>4500</v>
      </c>
      <c r="AG13" s="86" t="n">
        <v>4500</v>
      </c>
      <c r="AH13" s="86" t="n">
        <v>4500</v>
      </c>
      <c r="AI13" s="86" t="n">
        <v>4500</v>
      </c>
      <c r="AJ13" s="86" t="n">
        <v>4500</v>
      </c>
      <c r="AK13" s="86" t="n">
        <v>4500</v>
      </c>
      <c r="AL13" s="86" t="n">
        <v>4500</v>
      </c>
    </row>
    <row r="14" ht="15" customHeight="1" s="56">
      <c r="A14" s="72" t="inlineStr">
        <is>
          <t>GESAMTUMSATZ (€)</t>
        </is>
      </c>
      <c r="C14" s="109">
        <f>C10+C12+C13</f>
        <v/>
      </c>
      <c r="D14" s="109">
        <f>D10+D12+D13</f>
        <v/>
      </c>
      <c r="E14" s="109">
        <f>E10+E12+E13</f>
        <v/>
      </c>
      <c r="F14" s="109">
        <f>F10+F12+F13</f>
        <v/>
      </c>
      <c r="G14" s="109">
        <f>G10+G12+G13</f>
        <v/>
      </c>
      <c r="H14" s="109">
        <f>H10+H12+H13</f>
        <v/>
      </c>
      <c r="I14" s="109">
        <f>I10+I12+I13</f>
        <v/>
      </c>
      <c r="J14" s="109">
        <f>J10+J12+J13</f>
        <v/>
      </c>
      <c r="K14" s="109">
        <f>K10+K12+K13</f>
        <v/>
      </c>
      <c r="L14" s="109">
        <f>L10+L12+L13</f>
        <v/>
      </c>
      <c r="M14" s="109">
        <f>M10+M12+M13</f>
        <v/>
      </c>
      <c r="N14" s="109">
        <f>N10+N12+N13</f>
        <v/>
      </c>
      <c r="O14" s="109">
        <f>O10+O12+O13</f>
        <v/>
      </c>
      <c r="P14" s="109">
        <f>P10+P12+P13</f>
        <v/>
      </c>
      <c r="Q14" s="109">
        <f>Q10+Q12+Q13</f>
        <v/>
      </c>
      <c r="R14" s="109">
        <f>R10+R12+R13</f>
        <v/>
      </c>
      <c r="S14" s="109">
        <f>S10+S12+S13</f>
        <v/>
      </c>
      <c r="T14" s="109">
        <f>T10+T12+T13</f>
        <v/>
      </c>
      <c r="U14" s="109">
        <f>U10+U12+U13</f>
        <v/>
      </c>
      <c r="V14" s="109">
        <f>V10+V12+V13</f>
        <v/>
      </c>
      <c r="W14" s="109">
        <f>W10+W12+W13</f>
        <v/>
      </c>
      <c r="X14" s="109">
        <f>X10+X12+X13</f>
        <v/>
      </c>
      <c r="Y14" s="109">
        <f>Y10+Y12+Y13</f>
        <v/>
      </c>
      <c r="Z14" s="109">
        <f>Z10+Z12+Z13</f>
        <v/>
      </c>
      <c r="AA14" s="109">
        <f>AA10+AA12+AA13</f>
        <v/>
      </c>
      <c r="AB14" s="109">
        <f>AB10+AB12+AB13</f>
        <v/>
      </c>
      <c r="AC14" s="109">
        <f>AC10+AC12+AC13</f>
        <v/>
      </c>
      <c r="AD14" s="109">
        <f>AD10+AD12+AD13</f>
        <v/>
      </c>
      <c r="AE14" s="109">
        <f>AE10+AE12+AE13</f>
        <v/>
      </c>
      <c r="AF14" s="109">
        <f>AF10+AF12+AF13</f>
        <v/>
      </c>
      <c r="AG14" s="109">
        <f>AG10+AG12+AG13</f>
        <v/>
      </c>
      <c r="AH14" s="109">
        <f>AH10+AH12+AH13</f>
        <v/>
      </c>
      <c r="AI14" s="109">
        <f>AI10+AI12+AI13</f>
        <v/>
      </c>
      <c r="AJ14" s="109">
        <f>AJ10+AJ12+AJ13</f>
        <v/>
      </c>
      <c r="AK14" s="109">
        <f>AK10+AK12+AK13</f>
        <v/>
      </c>
      <c r="AL14" s="109">
        <f>AL10+AL12+AL13</f>
        <v/>
      </c>
    </row>
    <row r="15" ht="15" customHeight="1" s="56">
      <c r="A15" s="85" t="inlineStr">
        <is>
          <t>Wareneinsatz (€)</t>
        </is>
      </c>
      <c r="C15" s="107">
        <f>C10*Annahmen!$B$16+Annahmen!$B$17</f>
        <v/>
      </c>
      <c r="D15" s="107">
        <f>D10*Annahmen!$B$16+Annahmen!$B$17</f>
        <v/>
      </c>
      <c r="E15" s="107">
        <f>E10*Annahmen!$B$16+Annahmen!$B$17</f>
        <v/>
      </c>
      <c r="F15" s="107">
        <f>F10*Annahmen!$B$16+Annahmen!$B$17</f>
        <v/>
      </c>
      <c r="G15" s="107">
        <f>G10*Annahmen!$B$16+Annahmen!$B$17</f>
        <v/>
      </c>
      <c r="H15" s="107">
        <f>H10*Annahmen!$B$16+Annahmen!$B$17</f>
        <v/>
      </c>
      <c r="I15" s="107">
        <f>I10*Annahmen!$B$16+Annahmen!$B$17</f>
        <v/>
      </c>
      <c r="J15" s="107">
        <f>J10*Annahmen!$B$16+Annahmen!$B$17</f>
        <v/>
      </c>
      <c r="K15" s="107">
        <f>K10*Annahmen!$B$16+Annahmen!$B$17</f>
        <v/>
      </c>
      <c r="L15" s="107">
        <f>L10*Annahmen!$B$16+Annahmen!$B$17</f>
        <v/>
      </c>
      <c r="M15" s="107">
        <f>M10*Annahmen!$B$16+Annahmen!$B$17</f>
        <v/>
      </c>
      <c r="N15" s="107">
        <f>N10*Annahmen!$B$16+Annahmen!$B$17</f>
        <v/>
      </c>
      <c r="O15" s="107">
        <f>O10*Annahmen!$B$16+Annahmen!$B$17</f>
        <v/>
      </c>
      <c r="P15" s="107">
        <f>P10*Annahmen!$B$16+Annahmen!$B$17</f>
        <v/>
      </c>
      <c r="Q15" s="107">
        <f>Q10*Annahmen!$B$16+Annahmen!$B$17</f>
        <v/>
      </c>
      <c r="R15" s="107">
        <f>R10*Annahmen!$B$16+Annahmen!$B$17</f>
        <v/>
      </c>
      <c r="S15" s="107">
        <f>S10*Annahmen!$B$16+Annahmen!$B$17</f>
        <v/>
      </c>
      <c r="T15" s="107">
        <f>T10*Annahmen!$B$16+Annahmen!$B$17</f>
        <v/>
      </c>
      <c r="U15" s="107">
        <f>U10*Annahmen!$B$16+Annahmen!$B$17</f>
        <v/>
      </c>
      <c r="V15" s="107">
        <f>V10*Annahmen!$B$16+Annahmen!$B$17</f>
        <v/>
      </c>
      <c r="W15" s="107">
        <f>W10*Annahmen!$B$16+Annahmen!$B$17</f>
        <v/>
      </c>
      <c r="X15" s="107">
        <f>X10*Annahmen!$B$16+Annahmen!$B$17</f>
        <v/>
      </c>
      <c r="Y15" s="107">
        <f>Y10*Annahmen!$B$16+Annahmen!$B$17</f>
        <v/>
      </c>
      <c r="Z15" s="107">
        <f>Z10*Annahmen!$B$16+Annahmen!$B$17</f>
        <v/>
      </c>
      <c r="AA15" s="107">
        <f>AA10*Annahmen!$B$16+Annahmen!$B$17</f>
        <v/>
      </c>
      <c r="AB15" s="107">
        <f>AB10*Annahmen!$B$16+Annahmen!$B$17</f>
        <v/>
      </c>
      <c r="AC15" s="107">
        <f>AC10*Annahmen!$B$16+Annahmen!$B$17</f>
        <v/>
      </c>
      <c r="AD15" s="107">
        <f>AD10*Annahmen!$B$16+Annahmen!$B$17</f>
        <v/>
      </c>
      <c r="AE15" s="107">
        <f>AE10*Annahmen!$B$16+Annahmen!$B$17</f>
        <v/>
      </c>
      <c r="AF15" s="107">
        <f>AF10*Annahmen!$B$16+Annahmen!$B$17</f>
        <v/>
      </c>
      <c r="AG15" s="107">
        <f>AG10*Annahmen!$B$16+Annahmen!$B$17</f>
        <v/>
      </c>
      <c r="AH15" s="107">
        <f>AH10*Annahmen!$B$16+Annahmen!$B$17</f>
        <v/>
      </c>
      <c r="AI15" s="107">
        <f>AI10*Annahmen!$B$16+Annahmen!$B$17</f>
        <v/>
      </c>
      <c r="AJ15" s="107">
        <f>AJ10*Annahmen!$B$16+Annahmen!$B$17</f>
        <v/>
      </c>
      <c r="AK15" s="107">
        <f>AK10*Annahmen!$B$16+Annahmen!$B$17</f>
        <v/>
      </c>
      <c r="AL15" s="107">
        <f>AL10*Annahmen!$B$16+Annahmen!$B$17</f>
        <v/>
      </c>
    </row>
    <row r="16" ht="15" customHeight="1" s="56">
      <c r="A16" s="72" t="inlineStr">
        <is>
          <t>Rohertrag (€)</t>
        </is>
      </c>
      <c r="C16" s="109">
        <f>C14-C15</f>
        <v/>
      </c>
      <c r="D16" s="109">
        <f>D14-D15</f>
        <v/>
      </c>
      <c r="E16" s="109">
        <f>E14-E15</f>
        <v/>
      </c>
      <c r="F16" s="109">
        <f>F14-F15</f>
        <v/>
      </c>
      <c r="G16" s="109">
        <f>G14-G15</f>
        <v/>
      </c>
      <c r="H16" s="109">
        <f>H14-H15</f>
        <v/>
      </c>
      <c r="I16" s="109">
        <f>I14-I15</f>
        <v/>
      </c>
      <c r="J16" s="109">
        <f>J14-J15</f>
        <v/>
      </c>
      <c r="K16" s="109">
        <f>K14-K15</f>
        <v/>
      </c>
      <c r="L16" s="109">
        <f>L14-L15</f>
        <v/>
      </c>
      <c r="M16" s="109">
        <f>M14-M15</f>
        <v/>
      </c>
      <c r="N16" s="109">
        <f>N14-N15</f>
        <v/>
      </c>
      <c r="O16" s="109">
        <f>O14-O15</f>
        <v/>
      </c>
      <c r="P16" s="109">
        <f>P14-P15</f>
        <v/>
      </c>
      <c r="Q16" s="109">
        <f>Q14-Q15</f>
        <v/>
      </c>
      <c r="R16" s="109">
        <f>R14-R15</f>
        <v/>
      </c>
      <c r="S16" s="109">
        <f>S14-S15</f>
        <v/>
      </c>
      <c r="T16" s="109">
        <f>T14-T15</f>
        <v/>
      </c>
      <c r="U16" s="109">
        <f>U14-U15</f>
        <v/>
      </c>
      <c r="V16" s="109">
        <f>V14-V15</f>
        <v/>
      </c>
      <c r="W16" s="109">
        <f>W14-W15</f>
        <v/>
      </c>
      <c r="X16" s="109">
        <f>X14-X15</f>
        <v/>
      </c>
      <c r="Y16" s="109">
        <f>Y14-Y15</f>
        <v/>
      </c>
      <c r="Z16" s="109">
        <f>Z14-Z15</f>
        <v/>
      </c>
      <c r="AA16" s="109">
        <f>AA14-AA15</f>
        <v/>
      </c>
      <c r="AB16" s="109">
        <f>AB14-AB15</f>
        <v/>
      </c>
      <c r="AC16" s="109">
        <f>AC14-AC15</f>
        <v/>
      </c>
      <c r="AD16" s="109">
        <f>AD14-AD15</f>
        <v/>
      </c>
      <c r="AE16" s="109">
        <f>AE14-AE15</f>
        <v/>
      </c>
      <c r="AF16" s="109">
        <f>AF14-AF15</f>
        <v/>
      </c>
      <c r="AG16" s="109">
        <f>AG14-AG15</f>
        <v/>
      </c>
      <c r="AH16" s="109">
        <f>AH14-AH15</f>
        <v/>
      </c>
      <c r="AI16" s="109">
        <f>AI14-AI15</f>
        <v/>
      </c>
      <c r="AJ16" s="109">
        <f>AJ14-AJ15</f>
        <v/>
      </c>
      <c r="AK16" s="109">
        <f>AK14-AK15</f>
        <v/>
      </c>
      <c r="AL16" s="109">
        <f>AL14-AL15</f>
        <v/>
      </c>
    </row>
    <row r="17" ht="15" customHeight="1" s="56">
      <c r="A17" s="85" t="inlineStr">
        <is>
          <t>Personal (€)</t>
        </is>
      </c>
      <c r="C17" s="107">
        <f>IF(C4&lt;=Annahmen!$B$58,0,Annahmen!$B$20+(Annahmen!$B$21-Annahmen!$B$20)*(C4-Annahmen!$B$58-1)/(35-Annahmen!$B$58))+IF(C4&lt;Annahmen!$B$24,0,IF(C4&lt;=24,Annahmen!$B$22,Annahmen!$B$23))</f>
        <v/>
      </c>
      <c r="D17" s="107">
        <f>IF(D4&lt;=Annahmen!$B$58,0,Annahmen!$B$20+(Annahmen!$B$21-Annahmen!$B$20)*(D4-Annahmen!$B$58-1)/(35-Annahmen!$B$58))+IF(D4&lt;Annahmen!$B$24,0,IF(D4&lt;=24,Annahmen!$B$22,Annahmen!$B$23))</f>
        <v/>
      </c>
      <c r="E17" s="107">
        <f>IF(E4&lt;=Annahmen!$B$58,0,Annahmen!$B$20+(Annahmen!$B$21-Annahmen!$B$20)*(E4-Annahmen!$B$58-1)/(35-Annahmen!$B$58))+IF(E4&lt;Annahmen!$B$24,0,IF(E4&lt;=24,Annahmen!$B$22,Annahmen!$B$23))</f>
        <v/>
      </c>
      <c r="F17" s="107">
        <f>IF(F4&lt;=Annahmen!$B$58,0,Annahmen!$B$20+(Annahmen!$B$21-Annahmen!$B$20)*(F4-Annahmen!$B$58-1)/(35-Annahmen!$B$58))+IF(F4&lt;Annahmen!$B$24,0,IF(F4&lt;=24,Annahmen!$B$22,Annahmen!$B$23))</f>
        <v/>
      </c>
      <c r="G17" s="107">
        <f>IF(G4&lt;=Annahmen!$B$58,0,Annahmen!$B$20+(Annahmen!$B$21-Annahmen!$B$20)*(G4-Annahmen!$B$58-1)/(35-Annahmen!$B$58))+IF(G4&lt;Annahmen!$B$24,0,IF(G4&lt;=24,Annahmen!$B$22,Annahmen!$B$23))</f>
        <v/>
      </c>
      <c r="H17" s="107">
        <f>IF(H4&lt;=Annahmen!$B$58,0,Annahmen!$B$20+(Annahmen!$B$21-Annahmen!$B$20)*(H4-Annahmen!$B$58-1)/(35-Annahmen!$B$58))+IF(H4&lt;Annahmen!$B$24,0,IF(H4&lt;=24,Annahmen!$B$22,Annahmen!$B$23))</f>
        <v/>
      </c>
      <c r="I17" s="107">
        <f>IF(I4&lt;=Annahmen!$B$58,0,Annahmen!$B$20+(Annahmen!$B$21-Annahmen!$B$20)*(I4-Annahmen!$B$58-1)/(35-Annahmen!$B$58))+IF(I4&lt;Annahmen!$B$24,0,IF(I4&lt;=24,Annahmen!$B$22,Annahmen!$B$23))</f>
        <v/>
      </c>
      <c r="J17" s="107">
        <f>IF(J4&lt;=Annahmen!$B$58,0,Annahmen!$B$20+(Annahmen!$B$21-Annahmen!$B$20)*(J4-Annahmen!$B$58-1)/(35-Annahmen!$B$58))+IF(J4&lt;Annahmen!$B$24,0,IF(J4&lt;=24,Annahmen!$B$22,Annahmen!$B$23))</f>
        <v/>
      </c>
      <c r="K17" s="107">
        <f>IF(K4&lt;=Annahmen!$B$58,0,Annahmen!$B$20+(Annahmen!$B$21-Annahmen!$B$20)*(K4-Annahmen!$B$58-1)/(35-Annahmen!$B$58))+IF(K4&lt;Annahmen!$B$24,0,IF(K4&lt;=24,Annahmen!$B$22,Annahmen!$B$23))</f>
        <v/>
      </c>
      <c r="L17" s="107">
        <f>IF(L4&lt;=Annahmen!$B$58,0,Annahmen!$B$20+(Annahmen!$B$21-Annahmen!$B$20)*(L4-Annahmen!$B$58-1)/(35-Annahmen!$B$58))+IF(L4&lt;Annahmen!$B$24,0,IF(L4&lt;=24,Annahmen!$B$22,Annahmen!$B$23))</f>
        <v/>
      </c>
      <c r="M17" s="107">
        <f>IF(M4&lt;=Annahmen!$B$58,0,Annahmen!$B$20+(Annahmen!$B$21-Annahmen!$B$20)*(M4-Annahmen!$B$58-1)/(35-Annahmen!$B$58))+IF(M4&lt;Annahmen!$B$24,0,IF(M4&lt;=24,Annahmen!$B$22,Annahmen!$B$23))</f>
        <v/>
      </c>
      <c r="N17" s="107">
        <f>IF(N4&lt;=Annahmen!$B$58,0,Annahmen!$B$20+(Annahmen!$B$21-Annahmen!$B$20)*(N4-Annahmen!$B$58-1)/(35-Annahmen!$B$58))+IF(N4&lt;Annahmen!$B$24,0,IF(N4&lt;=24,Annahmen!$B$22,Annahmen!$B$23))</f>
        <v/>
      </c>
      <c r="O17" s="107">
        <f>IF(O4&lt;=Annahmen!$B$58,0,Annahmen!$B$20+(Annahmen!$B$21-Annahmen!$B$20)*(O4-Annahmen!$B$58-1)/(35-Annahmen!$B$58))+IF(O4&lt;Annahmen!$B$24,0,IF(O4&lt;=24,Annahmen!$B$22,Annahmen!$B$23))</f>
        <v/>
      </c>
      <c r="P17" s="107">
        <f>IF(P4&lt;=Annahmen!$B$58,0,Annahmen!$B$20+(Annahmen!$B$21-Annahmen!$B$20)*(P4-Annahmen!$B$58-1)/(35-Annahmen!$B$58))+IF(P4&lt;Annahmen!$B$24,0,IF(P4&lt;=24,Annahmen!$B$22,Annahmen!$B$23))</f>
        <v/>
      </c>
      <c r="Q17" s="107">
        <f>IF(Q4&lt;=Annahmen!$B$58,0,Annahmen!$B$20+(Annahmen!$B$21-Annahmen!$B$20)*(Q4-Annahmen!$B$58-1)/(35-Annahmen!$B$58))+IF(Q4&lt;Annahmen!$B$24,0,IF(Q4&lt;=24,Annahmen!$B$22,Annahmen!$B$23))</f>
        <v/>
      </c>
      <c r="R17" s="107">
        <f>IF(R4&lt;=Annahmen!$B$58,0,Annahmen!$B$20+(Annahmen!$B$21-Annahmen!$B$20)*(R4-Annahmen!$B$58-1)/(35-Annahmen!$B$58))+IF(R4&lt;Annahmen!$B$24,0,IF(R4&lt;=24,Annahmen!$B$22,Annahmen!$B$23))</f>
        <v/>
      </c>
      <c r="S17" s="107">
        <f>IF(S4&lt;=Annahmen!$B$58,0,Annahmen!$B$20+(Annahmen!$B$21-Annahmen!$B$20)*(S4-Annahmen!$B$58-1)/(35-Annahmen!$B$58))+IF(S4&lt;Annahmen!$B$24,0,IF(S4&lt;=24,Annahmen!$B$22,Annahmen!$B$23))</f>
        <v/>
      </c>
      <c r="T17" s="107">
        <f>IF(T4&lt;=Annahmen!$B$58,0,Annahmen!$B$20+(Annahmen!$B$21-Annahmen!$B$20)*(T4-Annahmen!$B$58-1)/(35-Annahmen!$B$58))+IF(T4&lt;Annahmen!$B$24,0,IF(T4&lt;=24,Annahmen!$B$22,Annahmen!$B$23))</f>
        <v/>
      </c>
      <c r="U17" s="107">
        <f>IF(U4&lt;=Annahmen!$B$58,0,Annahmen!$B$20+(Annahmen!$B$21-Annahmen!$B$20)*(U4-Annahmen!$B$58-1)/(35-Annahmen!$B$58))+IF(U4&lt;Annahmen!$B$24,0,IF(U4&lt;=24,Annahmen!$B$22,Annahmen!$B$23))</f>
        <v/>
      </c>
      <c r="V17" s="107">
        <f>IF(V4&lt;=Annahmen!$B$58,0,Annahmen!$B$20+(Annahmen!$B$21-Annahmen!$B$20)*(V4-Annahmen!$B$58-1)/(35-Annahmen!$B$58))+IF(V4&lt;Annahmen!$B$24,0,IF(V4&lt;=24,Annahmen!$B$22,Annahmen!$B$23))</f>
        <v/>
      </c>
      <c r="W17" s="107">
        <f>IF(W4&lt;=Annahmen!$B$58,0,Annahmen!$B$20+(Annahmen!$B$21-Annahmen!$B$20)*(W4-Annahmen!$B$58-1)/(35-Annahmen!$B$58))+IF(W4&lt;Annahmen!$B$24,0,IF(W4&lt;=24,Annahmen!$B$22,Annahmen!$B$23))</f>
        <v/>
      </c>
      <c r="X17" s="107">
        <f>IF(X4&lt;=Annahmen!$B$58,0,Annahmen!$B$20+(Annahmen!$B$21-Annahmen!$B$20)*(X4-Annahmen!$B$58-1)/(35-Annahmen!$B$58))+IF(X4&lt;Annahmen!$B$24,0,IF(X4&lt;=24,Annahmen!$B$22,Annahmen!$B$23))</f>
        <v/>
      </c>
      <c r="Y17" s="107">
        <f>IF(Y4&lt;=Annahmen!$B$58,0,Annahmen!$B$20+(Annahmen!$B$21-Annahmen!$B$20)*(Y4-Annahmen!$B$58-1)/(35-Annahmen!$B$58))+IF(Y4&lt;Annahmen!$B$24,0,IF(Y4&lt;=24,Annahmen!$B$22,Annahmen!$B$23))</f>
        <v/>
      </c>
      <c r="Z17" s="107">
        <f>IF(Z4&lt;=Annahmen!$B$58,0,Annahmen!$B$20+(Annahmen!$B$21-Annahmen!$B$20)*(Z4-Annahmen!$B$58-1)/(35-Annahmen!$B$58))+IF(Z4&lt;Annahmen!$B$24,0,IF(Z4&lt;=24,Annahmen!$B$22,Annahmen!$B$23))</f>
        <v/>
      </c>
      <c r="AA17" s="107">
        <f>IF(AA4&lt;=Annahmen!$B$58,0,Annahmen!$B$20+(Annahmen!$B$21-Annahmen!$B$20)*(AA4-Annahmen!$B$58-1)/(35-Annahmen!$B$58))+IF(AA4&lt;Annahmen!$B$24,0,IF(AA4&lt;=24,Annahmen!$B$22,Annahmen!$B$23))</f>
        <v/>
      </c>
      <c r="AB17" s="107">
        <f>IF(AB4&lt;=Annahmen!$B$58,0,Annahmen!$B$20+(Annahmen!$B$21-Annahmen!$B$20)*(AB4-Annahmen!$B$58-1)/(35-Annahmen!$B$58))+IF(AB4&lt;Annahmen!$B$24,0,IF(AB4&lt;=24,Annahmen!$B$22,Annahmen!$B$23))</f>
        <v/>
      </c>
      <c r="AC17" s="107">
        <f>IF(AC4&lt;=Annahmen!$B$58,0,Annahmen!$B$20+(Annahmen!$B$21-Annahmen!$B$20)*(AC4-Annahmen!$B$58-1)/(35-Annahmen!$B$58))+IF(AC4&lt;Annahmen!$B$24,0,IF(AC4&lt;=24,Annahmen!$B$22,Annahmen!$B$23))</f>
        <v/>
      </c>
      <c r="AD17" s="107">
        <f>IF(AD4&lt;=Annahmen!$B$58,0,Annahmen!$B$20+(Annahmen!$B$21-Annahmen!$B$20)*(AD4-Annahmen!$B$58-1)/(35-Annahmen!$B$58))+IF(AD4&lt;Annahmen!$B$24,0,IF(AD4&lt;=24,Annahmen!$B$22,Annahmen!$B$23))</f>
        <v/>
      </c>
      <c r="AE17" s="107">
        <f>IF(AE4&lt;=Annahmen!$B$58,0,Annahmen!$B$20+(Annahmen!$B$21-Annahmen!$B$20)*(AE4-Annahmen!$B$58-1)/(35-Annahmen!$B$58))+IF(AE4&lt;Annahmen!$B$24,0,IF(AE4&lt;=24,Annahmen!$B$22,Annahmen!$B$23))</f>
        <v/>
      </c>
      <c r="AF17" s="107">
        <f>IF(AF4&lt;=Annahmen!$B$58,0,Annahmen!$B$20+(Annahmen!$B$21-Annahmen!$B$20)*(AF4-Annahmen!$B$58-1)/(35-Annahmen!$B$58))+IF(AF4&lt;Annahmen!$B$24,0,IF(AF4&lt;=24,Annahmen!$B$22,Annahmen!$B$23))</f>
        <v/>
      </c>
      <c r="AG17" s="107">
        <f>IF(AG4&lt;=Annahmen!$B$58,0,Annahmen!$B$20+(Annahmen!$B$21-Annahmen!$B$20)*(AG4-Annahmen!$B$58-1)/(35-Annahmen!$B$58))+IF(AG4&lt;Annahmen!$B$24,0,IF(AG4&lt;=24,Annahmen!$B$22,Annahmen!$B$23))</f>
        <v/>
      </c>
      <c r="AH17" s="107">
        <f>IF(AH4&lt;=Annahmen!$B$58,0,Annahmen!$B$20+(Annahmen!$B$21-Annahmen!$B$20)*(AH4-Annahmen!$B$58-1)/(35-Annahmen!$B$58))+IF(AH4&lt;Annahmen!$B$24,0,IF(AH4&lt;=24,Annahmen!$B$22,Annahmen!$B$23))</f>
        <v/>
      </c>
      <c r="AI17" s="107">
        <f>IF(AI4&lt;=Annahmen!$B$58,0,Annahmen!$B$20+(Annahmen!$B$21-Annahmen!$B$20)*(AI4-Annahmen!$B$58-1)/(35-Annahmen!$B$58))+IF(AI4&lt;Annahmen!$B$24,0,IF(AI4&lt;=24,Annahmen!$B$22,Annahmen!$B$23))</f>
        <v/>
      </c>
      <c r="AJ17" s="107">
        <f>IF(AJ4&lt;=Annahmen!$B$58,0,Annahmen!$B$20+(Annahmen!$B$21-Annahmen!$B$20)*(AJ4-Annahmen!$B$58-1)/(35-Annahmen!$B$58))+IF(AJ4&lt;Annahmen!$B$24,0,IF(AJ4&lt;=24,Annahmen!$B$22,Annahmen!$B$23))</f>
        <v/>
      </c>
      <c r="AK17" s="107">
        <f>IF(AK4&lt;=Annahmen!$B$58,0,Annahmen!$B$20+(Annahmen!$B$21-Annahmen!$B$20)*(AK4-Annahmen!$B$58-1)/(35-Annahmen!$B$58))+IF(AK4&lt;Annahmen!$B$24,0,IF(AK4&lt;=24,Annahmen!$B$22,Annahmen!$B$23))</f>
        <v/>
      </c>
      <c r="AL17" s="107">
        <f>IF(AL4&lt;=Annahmen!$B$58,0,Annahmen!$B$20+(Annahmen!$B$21-Annahmen!$B$20)*(AL4-Annahmen!$B$58-1)/(35-Annahmen!$B$58))+IF(AL4&lt;Annahmen!$B$24,0,IF(AL4&lt;=24,Annahmen!$B$22,Annahmen!$B$23))</f>
        <v/>
      </c>
    </row>
    <row r="18" ht="15" customHeight="1" s="56">
      <c r="A18" s="85" t="inlineStr">
        <is>
          <t>Miete/Homeoffice (€)</t>
        </is>
      </c>
      <c r="C18" s="107">
        <f>Annahmen!$B$27</f>
        <v/>
      </c>
      <c r="D18" s="107">
        <f>Annahmen!$B$27</f>
        <v/>
      </c>
      <c r="E18" s="107">
        <f>Annahmen!$B$27</f>
        <v/>
      </c>
      <c r="F18" s="107">
        <f>Annahmen!$B$27</f>
        <v/>
      </c>
      <c r="G18" s="107">
        <f>Annahmen!$B$27</f>
        <v/>
      </c>
      <c r="H18" s="107">
        <f>Annahmen!$B$27</f>
        <v/>
      </c>
      <c r="I18" s="107">
        <f>Annahmen!$B$27</f>
        <v/>
      </c>
      <c r="J18" s="107">
        <f>Annahmen!$B$27</f>
        <v/>
      </c>
      <c r="K18" s="107">
        <f>Annahmen!$B$27</f>
        <v/>
      </c>
      <c r="L18" s="107">
        <f>Annahmen!$B$27</f>
        <v/>
      </c>
      <c r="M18" s="107">
        <f>Annahmen!$B$27</f>
        <v/>
      </c>
      <c r="N18" s="107">
        <f>Annahmen!$B$27</f>
        <v/>
      </c>
      <c r="O18" s="107">
        <f>Annahmen!$B$27</f>
        <v/>
      </c>
      <c r="P18" s="107">
        <f>Annahmen!$B$27</f>
        <v/>
      </c>
      <c r="Q18" s="107">
        <f>Annahmen!$B$27</f>
        <v/>
      </c>
      <c r="R18" s="107">
        <f>Annahmen!$B$27</f>
        <v/>
      </c>
      <c r="S18" s="107">
        <f>Annahmen!$B$27</f>
        <v/>
      </c>
      <c r="T18" s="107">
        <f>Annahmen!$B$27</f>
        <v/>
      </c>
      <c r="U18" s="107">
        <f>Annahmen!$B$27</f>
        <v/>
      </c>
      <c r="V18" s="107">
        <f>Annahmen!$B$27</f>
        <v/>
      </c>
      <c r="W18" s="107">
        <f>Annahmen!$B$27</f>
        <v/>
      </c>
      <c r="X18" s="107">
        <f>Annahmen!$B$27</f>
        <v/>
      </c>
      <c r="Y18" s="107">
        <f>Annahmen!$B$27</f>
        <v/>
      </c>
      <c r="Z18" s="107">
        <f>Annahmen!$B$27</f>
        <v/>
      </c>
      <c r="AA18" s="107">
        <f>Annahmen!$B$27</f>
        <v/>
      </c>
      <c r="AB18" s="107">
        <f>Annahmen!$B$27</f>
        <v/>
      </c>
      <c r="AC18" s="107">
        <f>Annahmen!$B$27</f>
        <v/>
      </c>
      <c r="AD18" s="107">
        <f>Annahmen!$B$27</f>
        <v/>
      </c>
      <c r="AE18" s="107">
        <f>Annahmen!$B$27</f>
        <v/>
      </c>
      <c r="AF18" s="107">
        <f>Annahmen!$B$27</f>
        <v/>
      </c>
      <c r="AG18" s="107">
        <f>Annahmen!$B$27</f>
        <v/>
      </c>
      <c r="AH18" s="107">
        <f>Annahmen!$B$27</f>
        <v/>
      </c>
      <c r="AI18" s="107">
        <f>Annahmen!$B$27</f>
        <v/>
      </c>
      <c r="AJ18" s="107">
        <f>Annahmen!$B$27</f>
        <v/>
      </c>
      <c r="AK18" s="107">
        <f>Annahmen!$B$27</f>
        <v/>
      </c>
      <c r="AL18" s="107">
        <f>Annahmen!$B$27</f>
        <v/>
      </c>
    </row>
    <row r="19" ht="15" customHeight="1" s="56">
      <c r="A19" s="85" t="inlineStr">
        <is>
          <t>Werbung (€)</t>
        </is>
      </c>
      <c r="C19" s="107">
        <f>Annahmen!$B$28+(Annahmen!$B$29-Annahmen!$B$28)*(C4-1)/35</f>
        <v/>
      </c>
      <c r="D19" s="107">
        <f>Annahmen!$B$28+(Annahmen!$B$29-Annahmen!$B$28)*(D4-1)/35</f>
        <v/>
      </c>
      <c r="E19" s="107">
        <f>Annahmen!$B$28+(Annahmen!$B$29-Annahmen!$B$28)*(E4-1)/35</f>
        <v/>
      </c>
      <c r="F19" s="107">
        <f>Annahmen!$B$28+(Annahmen!$B$29-Annahmen!$B$28)*(F4-1)/35</f>
        <v/>
      </c>
      <c r="G19" s="107">
        <f>Annahmen!$B$28+(Annahmen!$B$29-Annahmen!$B$28)*(G4-1)/35</f>
        <v/>
      </c>
      <c r="H19" s="107">
        <f>Annahmen!$B$28+(Annahmen!$B$29-Annahmen!$B$28)*(H4-1)/35</f>
        <v/>
      </c>
      <c r="I19" s="107">
        <f>Annahmen!$B$28+(Annahmen!$B$29-Annahmen!$B$28)*(I4-1)/35</f>
        <v/>
      </c>
      <c r="J19" s="107">
        <f>Annahmen!$B$28+(Annahmen!$B$29-Annahmen!$B$28)*(J4-1)/35</f>
        <v/>
      </c>
      <c r="K19" s="107">
        <f>Annahmen!$B$28+(Annahmen!$B$29-Annahmen!$B$28)*(K4-1)/35</f>
        <v/>
      </c>
      <c r="L19" s="107">
        <f>Annahmen!$B$28+(Annahmen!$B$29-Annahmen!$B$28)*(L4-1)/35</f>
        <v/>
      </c>
      <c r="M19" s="107">
        <f>Annahmen!$B$28+(Annahmen!$B$29-Annahmen!$B$28)*(M4-1)/35</f>
        <v/>
      </c>
      <c r="N19" s="107">
        <f>Annahmen!$B$28+(Annahmen!$B$29-Annahmen!$B$28)*(N4-1)/35</f>
        <v/>
      </c>
      <c r="O19" s="107">
        <f>Annahmen!$B$28+(Annahmen!$B$29-Annahmen!$B$28)*(O4-1)/35</f>
        <v/>
      </c>
      <c r="P19" s="107">
        <f>Annahmen!$B$28+(Annahmen!$B$29-Annahmen!$B$28)*(P4-1)/35</f>
        <v/>
      </c>
      <c r="Q19" s="107">
        <f>Annahmen!$B$28+(Annahmen!$B$29-Annahmen!$B$28)*(Q4-1)/35</f>
        <v/>
      </c>
      <c r="R19" s="107">
        <f>Annahmen!$B$28+(Annahmen!$B$29-Annahmen!$B$28)*(R4-1)/35</f>
        <v/>
      </c>
      <c r="S19" s="107">
        <f>Annahmen!$B$28+(Annahmen!$B$29-Annahmen!$B$28)*(S4-1)/35</f>
        <v/>
      </c>
      <c r="T19" s="107">
        <f>Annahmen!$B$28+(Annahmen!$B$29-Annahmen!$B$28)*(T4-1)/35</f>
        <v/>
      </c>
      <c r="U19" s="107">
        <f>Annahmen!$B$28+(Annahmen!$B$29-Annahmen!$B$28)*(U4-1)/35</f>
        <v/>
      </c>
      <c r="V19" s="107">
        <f>Annahmen!$B$28+(Annahmen!$B$29-Annahmen!$B$28)*(V4-1)/35</f>
        <v/>
      </c>
      <c r="W19" s="107">
        <f>Annahmen!$B$28+(Annahmen!$B$29-Annahmen!$B$28)*(W4-1)/35</f>
        <v/>
      </c>
      <c r="X19" s="107">
        <f>Annahmen!$B$28+(Annahmen!$B$29-Annahmen!$B$28)*(X4-1)/35</f>
        <v/>
      </c>
      <c r="Y19" s="107">
        <f>Annahmen!$B$28+(Annahmen!$B$29-Annahmen!$B$28)*(Y4-1)/35</f>
        <v/>
      </c>
      <c r="Z19" s="107">
        <f>Annahmen!$B$28+(Annahmen!$B$29-Annahmen!$B$28)*(Z4-1)/35</f>
        <v/>
      </c>
      <c r="AA19" s="107">
        <f>Annahmen!$B$28+(Annahmen!$B$29-Annahmen!$B$28)*(AA4-1)/35</f>
        <v/>
      </c>
      <c r="AB19" s="107">
        <f>Annahmen!$B$28+(Annahmen!$B$29-Annahmen!$B$28)*(AB4-1)/35</f>
        <v/>
      </c>
      <c r="AC19" s="107">
        <f>Annahmen!$B$28+(Annahmen!$B$29-Annahmen!$B$28)*(AC4-1)/35</f>
        <v/>
      </c>
      <c r="AD19" s="107">
        <f>Annahmen!$B$28+(Annahmen!$B$29-Annahmen!$B$28)*(AD4-1)/35</f>
        <v/>
      </c>
      <c r="AE19" s="107">
        <f>Annahmen!$B$28+(Annahmen!$B$29-Annahmen!$B$28)*(AE4-1)/35</f>
        <v/>
      </c>
      <c r="AF19" s="107">
        <f>Annahmen!$B$28+(Annahmen!$B$29-Annahmen!$B$28)*(AF4-1)/35</f>
        <v/>
      </c>
      <c r="AG19" s="107">
        <f>Annahmen!$B$28+(Annahmen!$B$29-Annahmen!$B$28)*(AG4-1)/35</f>
        <v/>
      </c>
      <c r="AH19" s="107">
        <f>Annahmen!$B$28+(Annahmen!$B$29-Annahmen!$B$28)*(AH4-1)/35</f>
        <v/>
      </c>
      <c r="AI19" s="107">
        <f>Annahmen!$B$28+(Annahmen!$B$29-Annahmen!$B$28)*(AI4-1)/35</f>
        <v/>
      </c>
      <c r="AJ19" s="107">
        <f>Annahmen!$B$28+(Annahmen!$B$29-Annahmen!$B$28)*(AJ4-1)/35</f>
        <v/>
      </c>
      <c r="AK19" s="107">
        <f>Annahmen!$B$28+(Annahmen!$B$29-Annahmen!$B$28)*(AK4-1)/35</f>
        <v/>
      </c>
      <c r="AL19" s="107">
        <f>Annahmen!$B$28+(Annahmen!$B$29-Annahmen!$B$28)*(AL4-1)/35</f>
        <v/>
      </c>
    </row>
    <row r="20" ht="15" customHeight="1" s="56">
      <c r="A20" s="85" t="inlineStr">
        <is>
          <t>Buchführung (€)</t>
        </is>
      </c>
      <c r="C20" s="107">
        <f>Annahmen!$B$30</f>
        <v/>
      </c>
      <c r="D20" s="107">
        <f>Annahmen!$B$30</f>
        <v/>
      </c>
      <c r="E20" s="107">
        <f>Annahmen!$B$30</f>
        <v/>
      </c>
      <c r="F20" s="107">
        <f>Annahmen!$B$30</f>
        <v/>
      </c>
      <c r="G20" s="107">
        <f>Annahmen!$B$30</f>
        <v/>
      </c>
      <c r="H20" s="107">
        <f>Annahmen!$B$30</f>
        <v/>
      </c>
      <c r="I20" s="107">
        <f>Annahmen!$B$30</f>
        <v/>
      </c>
      <c r="J20" s="107">
        <f>Annahmen!$B$30</f>
        <v/>
      </c>
      <c r="K20" s="107">
        <f>Annahmen!$B$30</f>
        <v/>
      </c>
      <c r="L20" s="107">
        <f>Annahmen!$B$30</f>
        <v/>
      </c>
      <c r="M20" s="107">
        <f>Annahmen!$B$30</f>
        <v/>
      </c>
      <c r="N20" s="107">
        <f>Annahmen!$B$30</f>
        <v/>
      </c>
      <c r="O20" s="107">
        <f>Annahmen!$B$30</f>
        <v/>
      </c>
      <c r="P20" s="107">
        <f>Annahmen!$B$30</f>
        <v/>
      </c>
      <c r="Q20" s="107">
        <f>Annahmen!$B$30</f>
        <v/>
      </c>
      <c r="R20" s="107">
        <f>Annahmen!$B$30</f>
        <v/>
      </c>
      <c r="S20" s="107">
        <f>Annahmen!$B$30</f>
        <v/>
      </c>
      <c r="T20" s="107">
        <f>Annahmen!$B$30</f>
        <v/>
      </c>
      <c r="U20" s="107">
        <f>Annahmen!$B$30</f>
        <v/>
      </c>
      <c r="V20" s="107">
        <f>Annahmen!$B$30</f>
        <v/>
      </c>
      <c r="W20" s="107">
        <f>Annahmen!$B$30</f>
        <v/>
      </c>
      <c r="X20" s="107">
        <f>Annahmen!$B$30</f>
        <v/>
      </c>
      <c r="Y20" s="107">
        <f>Annahmen!$B$30</f>
        <v/>
      </c>
      <c r="Z20" s="107">
        <f>Annahmen!$B$30</f>
        <v/>
      </c>
      <c r="AA20" s="107">
        <f>Annahmen!$B$30</f>
        <v/>
      </c>
      <c r="AB20" s="107">
        <f>Annahmen!$B$30</f>
        <v/>
      </c>
      <c r="AC20" s="107">
        <f>Annahmen!$B$30</f>
        <v/>
      </c>
      <c r="AD20" s="107">
        <f>Annahmen!$B$30</f>
        <v/>
      </c>
      <c r="AE20" s="107">
        <f>Annahmen!$B$30</f>
        <v/>
      </c>
      <c r="AF20" s="107">
        <f>Annahmen!$B$30</f>
        <v/>
      </c>
      <c r="AG20" s="107">
        <f>Annahmen!$B$30</f>
        <v/>
      </c>
      <c r="AH20" s="107">
        <f>Annahmen!$B$30</f>
        <v/>
      </c>
      <c r="AI20" s="107">
        <f>Annahmen!$B$30</f>
        <v/>
      </c>
      <c r="AJ20" s="107">
        <f>Annahmen!$B$30</f>
        <v/>
      </c>
      <c r="AK20" s="107">
        <f>Annahmen!$B$30</f>
        <v/>
      </c>
      <c r="AL20" s="107">
        <f>Annahmen!$B$30</f>
        <v/>
      </c>
    </row>
    <row r="21" ht="15" customHeight="1" s="56">
      <c r="A21" s="85" t="inlineStr">
        <is>
          <t>Abschreibung (€)</t>
        </is>
      </c>
      <c r="C21" s="107">
        <f>Annahmen!$B$36</f>
        <v/>
      </c>
      <c r="D21" s="107">
        <f>Annahmen!$B$36</f>
        <v/>
      </c>
      <c r="E21" s="107">
        <f>Annahmen!$B$36</f>
        <v/>
      </c>
      <c r="F21" s="107">
        <f>Annahmen!$B$36</f>
        <v/>
      </c>
      <c r="G21" s="107">
        <f>Annahmen!$B$36</f>
        <v/>
      </c>
      <c r="H21" s="107">
        <f>Annahmen!$B$36</f>
        <v/>
      </c>
      <c r="I21" s="107">
        <f>Annahmen!$B$36</f>
        <v/>
      </c>
      <c r="J21" s="107">
        <f>Annahmen!$B$36</f>
        <v/>
      </c>
      <c r="K21" s="107">
        <f>Annahmen!$B$36</f>
        <v/>
      </c>
      <c r="L21" s="107">
        <f>Annahmen!$B$36</f>
        <v/>
      </c>
      <c r="M21" s="107">
        <f>Annahmen!$B$36</f>
        <v/>
      </c>
      <c r="N21" s="107">
        <f>Annahmen!$B$36</f>
        <v/>
      </c>
      <c r="O21" s="107">
        <f>Annahmen!$B$36</f>
        <v/>
      </c>
      <c r="P21" s="107">
        <f>Annahmen!$B$36</f>
        <v/>
      </c>
      <c r="Q21" s="107">
        <f>Annahmen!$B$36</f>
        <v/>
      </c>
      <c r="R21" s="107">
        <f>Annahmen!$B$36</f>
        <v/>
      </c>
      <c r="S21" s="107">
        <f>Annahmen!$B$36</f>
        <v/>
      </c>
      <c r="T21" s="107">
        <f>Annahmen!$B$36</f>
        <v/>
      </c>
      <c r="U21" s="107">
        <f>Annahmen!$B$36</f>
        <v/>
      </c>
      <c r="V21" s="107">
        <f>Annahmen!$B$36</f>
        <v/>
      </c>
      <c r="W21" s="107">
        <f>Annahmen!$B$36</f>
        <v/>
      </c>
      <c r="X21" s="107">
        <f>Annahmen!$B$36</f>
        <v/>
      </c>
      <c r="Y21" s="107">
        <f>Annahmen!$B$36</f>
        <v/>
      </c>
      <c r="Z21" s="107">
        <f>Annahmen!$B$36</f>
        <v/>
      </c>
      <c r="AA21" s="107">
        <f>Annahmen!$B$36</f>
        <v/>
      </c>
      <c r="AB21" s="107">
        <f>Annahmen!$B$36</f>
        <v/>
      </c>
      <c r="AC21" s="107">
        <f>Annahmen!$B$36</f>
        <v/>
      </c>
      <c r="AD21" s="107">
        <f>Annahmen!$B$36</f>
        <v/>
      </c>
      <c r="AE21" s="107">
        <f>Annahmen!$B$36</f>
        <v/>
      </c>
      <c r="AF21" s="107">
        <f>Annahmen!$B$36</f>
        <v/>
      </c>
      <c r="AG21" s="107">
        <f>Annahmen!$B$36</f>
        <v/>
      </c>
      <c r="AH21" s="107">
        <f>Annahmen!$B$36</f>
        <v/>
      </c>
      <c r="AI21" s="107">
        <f>Annahmen!$B$36</f>
        <v/>
      </c>
      <c r="AJ21" s="107">
        <f>Annahmen!$B$36</f>
        <v/>
      </c>
      <c r="AK21" s="107">
        <f>Annahmen!$B$36</f>
        <v/>
      </c>
      <c r="AL21" s="107">
        <f>Annahmen!$B$36</f>
        <v/>
      </c>
    </row>
    <row r="22" ht="15" customHeight="1" s="56">
      <c r="A22" s="72" t="inlineStr">
        <is>
          <t>BETRIEBSERGEBNIS / EBIT (€)</t>
        </is>
      </c>
      <c r="C22" s="109">
        <f>C16-C17-C18-C19-C20-C21</f>
        <v/>
      </c>
      <c r="D22" s="109">
        <f>D16-D17-D18-D19-D20-D21</f>
        <v/>
      </c>
      <c r="E22" s="109">
        <f>E16-E17-E18-E19-E20-E21</f>
        <v/>
      </c>
      <c r="F22" s="109">
        <f>F16-F17-F18-F19-F20-F21</f>
        <v/>
      </c>
      <c r="G22" s="109">
        <f>G16-G17-G18-G19-G20-G21</f>
        <v/>
      </c>
      <c r="H22" s="109">
        <f>H16-H17-H18-H19-H20-H21</f>
        <v/>
      </c>
      <c r="I22" s="109">
        <f>I16-I17-I18-I19-I20-I21</f>
        <v/>
      </c>
      <c r="J22" s="109">
        <f>J16-J17-J18-J19-J20-J21</f>
        <v/>
      </c>
      <c r="K22" s="109">
        <f>K16-K17-K18-K19-K20-K21</f>
        <v/>
      </c>
      <c r="L22" s="109">
        <f>L16-L17-L18-L19-L20-L21</f>
        <v/>
      </c>
      <c r="M22" s="109">
        <f>M16-M17-M18-M19-M20-M21</f>
        <v/>
      </c>
      <c r="N22" s="109">
        <f>N16-N17-N18-N19-N20-N21</f>
        <v/>
      </c>
      <c r="O22" s="109">
        <f>O16-O17-O18-O19-O20-O21</f>
        <v/>
      </c>
      <c r="P22" s="109">
        <f>P16-P17-P18-P19-P20-P21</f>
        <v/>
      </c>
      <c r="Q22" s="109">
        <f>Q16-Q17-Q18-Q19-Q20-Q21</f>
        <v/>
      </c>
      <c r="R22" s="109">
        <f>R16-R17-R18-R19-R20-R21</f>
        <v/>
      </c>
      <c r="S22" s="109">
        <f>S16-S17-S18-S19-S20-S21</f>
        <v/>
      </c>
      <c r="T22" s="109">
        <f>T16-T17-T18-T19-T20-T21</f>
        <v/>
      </c>
      <c r="U22" s="109">
        <f>U16-U17-U18-U19-U20-U21</f>
        <v/>
      </c>
      <c r="V22" s="109">
        <f>V16-V17-V18-V19-V20-V21</f>
        <v/>
      </c>
      <c r="W22" s="109">
        <f>W16-W17-W18-W19-W20-W21</f>
        <v/>
      </c>
      <c r="X22" s="109">
        <f>X16-X17-X18-X19-X20-X21</f>
        <v/>
      </c>
      <c r="Y22" s="109">
        <f>Y16-Y17-Y18-Y19-Y20-Y21</f>
        <v/>
      </c>
      <c r="Z22" s="109">
        <f>Z16-Z17-Z18-Z19-Z20-Z21</f>
        <v/>
      </c>
      <c r="AA22" s="109">
        <f>AA16-AA17-AA18-AA19-AA20-AA21</f>
        <v/>
      </c>
      <c r="AB22" s="109">
        <f>AB16-AB17-AB18-AB19-AB20-AB21</f>
        <v/>
      </c>
      <c r="AC22" s="109">
        <f>AC16-AC17-AC18-AC19-AC20-AC21</f>
        <v/>
      </c>
      <c r="AD22" s="109">
        <f>AD16-AD17-AD18-AD19-AD20-AD21</f>
        <v/>
      </c>
      <c r="AE22" s="109">
        <f>AE16-AE17-AE18-AE19-AE20-AE21</f>
        <v/>
      </c>
      <c r="AF22" s="109">
        <f>AF16-AF17-AF18-AF19-AF20-AF21</f>
        <v/>
      </c>
      <c r="AG22" s="109">
        <f>AG16-AG17-AG18-AG19-AG20-AG21</f>
        <v/>
      </c>
      <c r="AH22" s="109">
        <f>AH16-AH17-AH18-AH19-AH20-AH21</f>
        <v/>
      </c>
      <c r="AI22" s="109">
        <f>AI16-AI17-AI18-AI19-AI20-AI21</f>
        <v/>
      </c>
      <c r="AJ22" s="109">
        <f>AJ16-AJ17-AJ18-AJ19-AJ20-AJ21</f>
        <v/>
      </c>
      <c r="AK22" s="109">
        <f>AK16-AK17-AK18-AK19-AK20-AK21</f>
        <v/>
      </c>
      <c r="AL22" s="109">
        <f>AL16-AL17-AL18-AL19-AL20-AL21</f>
        <v/>
      </c>
    </row>
    <row r="24" ht="15" customHeight="1" s="56">
      <c r="A24" s="85" t="inlineStr">
        <is>
          <t>Kreditsaldo Beginn (€)</t>
        </is>
      </c>
      <c r="C24" s="107">
        <f>Annahmen!$B$39</f>
        <v/>
      </c>
      <c r="D24" s="107">
        <f>C28</f>
        <v/>
      </c>
      <c r="E24" s="107">
        <f>D28</f>
        <v/>
      </c>
      <c r="F24" s="107">
        <f>E28</f>
        <v/>
      </c>
      <c r="G24" s="107">
        <f>F28</f>
        <v/>
      </c>
      <c r="H24" s="107">
        <f>G28</f>
        <v/>
      </c>
      <c r="I24" s="107">
        <f>H28</f>
        <v/>
      </c>
      <c r="J24" s="107">
        <f>I28</f>
        <v/>
      </c>
      <c r="K24" s="107">
        <f>J28</f>
        <v/>
      </c>
      <c r="L24" s="107">
        <f>K28</f>
        <v/>
      </c>
      <c r="M24" s="107">
        <f>L28</f>
        <v/>
      </c>
      <c r="N24" s="107">
        <f>M28</f>
        <v/>
      </c>
      <c r="O24" s="107">
        <f>N28</f>
        <v/>
      </c>
      <c r="P24" s="107">
        <f>O28</f>
        <v/>
      </c>
      <c r="Q24" s="107">
        <f>P28</f>
        <v/>
      </c>
      <c r="R24" s="107">
        <f>Q28</f>
        <v/>
      </c>
      <c r="S24" s="107">
        <f>R28</f>
        <v/>
      </c>
      <c r="T24" s="107">
        <f>S28</f>
        <v/>
      </c>
      <c r="U24" s="107">
        <f>T28</f>
        <v/>
      </c>
      <c r="V24" s="107">
        <f>U28</f>
        <v/>
      </c>
      <c r="W24" s="107">
        <f>V28</f>
        <v/>
      </c>
      <c r="X24" s="107">
        <f>W28</f>
        <v/>
      </c>
      <c r="Y24" s="107">
        <f>X28</f>
        <v/>
      </c>
      <c r="Z24" s="107">
        <f>Y28</f>
        <v/>
      </c>
      <c r="AA24" s="107">
        <f>Z28</f>
        <v/>
      </c>
      <c r="AB24" s="107">
        <f>AA28</f>
        <v/>
      </c>
      <c r="AC24" s="107">
        <f>AB28</f>
        <v/>
      </c>
      <c r="AD24" s="107">
        <f>AC28</f>
        <v/>
      </c>
      <c r="AE24" s="107">
        <f>AD28</f>
        <v/>
      </c>
      <c r="AF24" s="107">
        <f>AE28</f>
        <v/>
      </c>
      <c r="AG24" s="107">
        <f>AF28</f>
        <v/>
      </c>
      <c r="AH24" s="107">
        <f>AG28</f>
        <v/>
      </c>
      <c r="AI24" s="107">
        <f>AH28</f>
        <v/>
      </c>
      <c r="AJ24" s="107">
        <f>AI28</f>
        <v/>
      </c>
      <c r="AK24" s="107">
        <f>AJ28</f>
        <v/>
      </c>
      <c r="AL24" s="107">
        <f>AK28</f>
        <v/>
      </c>
    </row>
    <row r="25" ht="15" customHeight="1" s="56">
      <c r="A25" s="85" t="inlineStr">
        <is>
          <t>ProFIT-Sondertilgung (€)</t>
        </is>
      </c>
      <c r="C25" s="107">
        <f>IF(C4=Annahmen!$B$41,Annahmen!$B$39-Annahmen!$B$40,0)</f>
        <v/>
      </c>
      <c r="D25" s="107">
        <f>IF(D4=Annahmen!$B$41,Annahmen!$B$39-Annahmen!$B$40,0)</f>
        <v/>
      </c>
      <c r="E25" s="107">
        <f>IF(E4=Annahmen!$B$41,Annahmen!$B$39-Annahmen!$B$40,0)</f>
        <v/>
      </c>
      <c r="F25" s="107">
        <f>IF(F4=Annahmen!$B$41,Annahmen!$B$39-Annahmen!$B$40,0)</f>
        <v/>
      </c>
      <c r="G25" s="107">
        <f>IF(G4=Annahmen!$B$41,Annahmen!$B$39-Annahmen!$B$40,0)</f>
        <v/>
      </c>
      <c r="H25" s="107">
        <f>IF(H4=Annahmen!$B$41,Annahmen!$B$39-Annahmen!$B$40,0)</f>
        <v/>
      </c>
      <c r="I25" s="107">
        <f>IF(I4=Annahmen!$B$41,Annahmen!$B$39-Annahmen!$B$40,0)</f>
        <v/>
      </c>
      <c r="J25" s="107">
        <f>IF(J4=Annahmen!$B$41,Annahmen!$B$39-Annahmen!$B$40,0)</f>
        <v/>
      </c>
      <c r="K25" s="107">
        <f>IF(K4=Annahmen!$B$41,Annahmen!$B$39-Annahmen!$B$40,0)</f>
        <v/>
      </c>
      <c r="L25" s="107">
        <f>IF(L4=Annahmen!$B$41,Annahmen!$B$39-Annahmen!$B$40,0)</f>
        <v/>
      </c>
      <c r="M25" s="107">
        <f>IF(M4=Annahmen!$B$41,Annahmen!$B$39-Annahmen!$B$40,0)</f>
        <v/>
      </c>
      <c r="N25" s="107">
        <f>IF(N4=Annahmen!$B$41,Annahmen!$B$39-Annahmen!$B$40,0)</f>
        <v/>
      </c>
      <c r="O25" s="107">
        <f>IF(O4=Annahmen!$B$41,Annahmen!$B$39-Annahmen!$B$40,0)</f>
        <v/>
      </c>
      <c r="P25" s="107">
        <f>IF(P4=Annahmen!$B$41,Annahmen!$B$39-Annahmen!$B$40,0)</f>
        <v/>
      </c>
      <c r="Q25" s="107">
        <f>IF(Q4=Annahmen!$B$41,Annahmen!$B$39-Annahmen!$B$40,0)</f>
        <v/>
      </c>
      <c r="R25" s="107">
        <f>IF(R4=Annahmen!$B$41,Annahmen!$B$39-Annahmen!$B$40,0)</f>
        <v/>
      </c>
      <c r="S25" s="107">
        <f>IF(S4=Annahmen!$B$41,Annahmen!$B$39-Annahmen!$B$40,0)</f>
        <v/>
      </c>
      <c r="T25" s="107">
        <f>IF(T4=Annahmen!$B$41,Annahmen!$B$39-Annahmen!$B$40,0)</f>
        <v/>
      </c>
      <c r="U25" s="107">
        <f>IF(U4=Annahmen!$B$41,Annahmen!$B$39-Annahmen!$B$40,0)</f>
        <v/>
      </c>
      <c r="V25" s="107">
        <f>IF(V4=Annahmen!$B$41,Annahmen!$B$39-Annahmen!$B$40,0)</f>
        <v/>
      </c>
      <c r="W25" s="107">
        <f>IF(W4=Annahmen!$B$41,Annahmen!$B$39-Annahmen!$B$40,0)</f>
        <v/>
      </c>
      <c r="X25" s="107">
        <f>IF(X4=Annahmen!$B$41,Annahmen!$B$39-Annahmen!$B$40,0)</f>
        <v/>
      </c>
      <c r="Y25" s="107">
        <f>IF(Y4=Annahmen!$B$41,Annahmen!$B$39-Annahmen!$B$40,0)</f>
        <v/>
      </c>
      <c r="Z25" s="107">
        <f>IF(Z4=Annahmen!$B$41,Annahmen!$B$39-Annahmen!$B$40,0)</f>
        <v/>
      </c>
      <c r="AA25" s="107">
        <f>IF(AA4=Annahmen!$B$41,Annahmen!$B$39-Annahmen!$B$40,0)</f>
        <v/>
      </c>
      <c r="AB25" s="107">
        <f>IF(AB4=Annahmen!$B$41,Annahmen!$B$39-Annahmen!$B$40,0)</f>
        <v/>
      </c>
      <c r="AC25" s="107">
        <f>IF(AC4=Annahmen!$B$41,Annahmen!$B$39-Annahmen!$B$40,0)</f>
        <v/>
      </c>
      <c r="AD25" s="107">
        <f>IF(AD4=Annahmen!$B$41,Annahmen!$B$39-Annahmen!$B$40,0)</f>
        <v/>
      </c>
      <c r="AE25" s="107">
        <f>IF(AE4=Annahmen!$B$41,Annahmen!$B$39-Annahmen!$B$40,0)</f>
        <v/>
      </c>
      <c r="AF25" s="107">
        <f>IF(AF4=Annahmen!$B$41,Annahmen!$B$39-Annahmen!$B$40,0)</f>
        <v/>
      </c>
      <c r="AG25" s="107">
        <f>IF(AG4=Annahmen!$B$41,Annahmen!$B$39-Annahmen!$B$40,0)</f>
        <v/>
      </c>
      <c r="AH25" s="107">
        <f>IF(AH4=Annahmen!$B$41,Annahmen!$B$39-Annahmen!$B$40,0)</f>
        <v/>
      </c>
      <c r="AI25" s="107">
        <f>IF(AI4=Annahmen!$B$41,Annahmen!$B$39-Annahmen!$B$40,0)</f>
        <v/>
      </c>
      <c r="AJ25" s="107">
        <f>IF(AJ4=Annahmen!$B$41,Annahmen!$B$39-Annahmen!$B$40,0)</f>
        <v/>
      </c>
      <c r="AK25" s="107">
        <f>IF(AK4=Annahmen!$B$41,Annahmen!$B$39-Annahmen!$B$40,0)</f>
        <v/>
      </c>
      <c r="AL25" s="107">
        <f>IF(AL4=Annahmen!$B$41,Annahmen!$B$39-Annahmen!$B$40,0)</f>
        <v/>
      </c>
    </row>
    <row r="26" ht="15" customHeight="1" s="56">
      <c r="A26" s="85" t="inlineStr">
        <is>
          <t>Zinsen (€)</t>
        </is>
      </c>
      <c r="C26" s="110">
        <f>(C24-C25)*Annahmen!$B$43</f>
        <v/>
      </c>
      <c r="D26" s="110">
        <f>(D24-D25)*Annahmen!$B$43</f>
        <v/>
      </c>
      <c r="E26" s="110">
        <f>(E24-E25)*Annahmen!$B$43</f>
        <v/>
      </c>
      <c r="F26" s="110">
        <f>(F24-F25)*Annahmen!$B$43</f>
        <v/>
      </c>
      <c r="G26" s="110">
        <f>(G24-G25)*Annahmen!$B$43</f>
        <v/>
      </c>
      <c r="H26" s="110">
        <f>(H24-H25)*Annahmen!$B$43</f>
        <v/>
      </c>
      <c r="I26" s="110">
        <f>(I24-I25)*Annahmen!$B$43</f>
        <v/>
      </c>
      <c r="J26" s="110">
        <f>(J24-J25)*Annahmen!$B$43</f>
        <v/>
      </c>
      <c r="K26" s="110">
        <f>(K24-K25)*Annahmen!$B$43</f>
        <v/>
      </c>
      <c r="L26" s="110">
        <f>(L24-L25)*Annahmen!$B$43</f>
        <v/>
      </c>
      <c r="M26" s="110">
        <f>(M24-M25)*Annahmen!$B$43</f>
        <v/>
      </c>
      <c r="N26" s="110">
        <f>(N24-N25)*Annahmen!$B$43</f>
        <v/>
      </c>
      <c r="O26" s="110">
        <f>(O24-O25)*Annahmen!$B$43</f>
        <v/>
      </c>
      <c r="P26" s="110">
        <f>(P24-P25)*Annahmen!$B$43</f>
        <v/>
      </c>
      <c r="Q26" s="110">
        <f>(Q24-Q25)*Annahmen!$B$43</f>
        <v/>
      </c>
      <c r="R26" s="110">
        <f>(R24-R25)*Annahmen!$B$43</f>
        <v/>
      </c>
      <c r="S26" s="110">
        <f>(S24-S25)*Annahmen!$B$43</f>
        <v/>
      </c>
      <c r="T26" s="110">
        <f>(T24-T25)*Annahmen!$B$43</f>
        <v/>
      </c>
      <c r="U26" s="110">
        <f>(U24-U25)*Annahmen!$B$43</f>
        <v/>
      </c>
      <c r="V26" s="110">
        <f>(V24-V25)*Annahmen!$B$43</f>
        <v/>
      </c>
      <c r="W26" s="110">
        <f>(W24-W25)*Annahmen!$B$43</f>
        <v/>
      </c>
      <c r="X26" s="110">
        <f>(X24-X25)*Annahmen!$B$43</f>
        <v/>
      </c>
      <c r="Y26" s="110">
        <f>(Y24-Y25)*Annahmen!$B$43</f>
        <v/>
      </c>
      <c r="Z26" s="110">
        <f>(Z24-Z25)*Annahmen!$B$43</f>
        <v/>
      </c>
      <c r="AA26" s="110">
        <f>(AA24-AA25)*Annahmen!$B$43</f>
        <v/>
      </c>
      <c r="AB26" s="110">
        <f>(AB24-AB25)*Annahmen!$B$43</f>
        <v/>
      </c>
      <c r="AC26" s="110">
        <f>(AC24-AC25)*Annahmen!$B$43</f>
        <v/>
      </c>
      <c r="AD26" s="110">
        <f>(AD24-AD25)*Annahmen!$B$43</f>
        <v/>
      </c>
      <c r="AE26" s="110">
        <f>(AE24-AE25)*Annahmen!$B$43</f>
        <v/>
      </c>
      <c r="AF26" s="110">
        <f>(AF24-AF25)*Annahmen!$B$43</f>
        <v/>
      </c>
      <c r="AG26" s="110">
        <f>(AG24-AG25)*Annahmen!$B$43</f>
        <v/>
      </c>
      <c r="AH26" s="110">
        <f>(AH24-AH25)*Annahmen!$B$43</f>
        <v/>
      </c>
      <c r="AI26" s="110">
        <f>(AI24-AI25)*Annahmen!$B$43</f>
        <v/>
      </c>
      <c r="AJ26" s="110">
        <f>(AJ24-AJ25)*Annahmen!$B$43</f>
        <v/>
      </c>
      <c r="AK26" s="110">
        <f>(AK24-AK25)*Annahmen!$B$43</f>
        <v/>
      </c>
      <c r="AL26" s="110">
        <f>(AL24-AL25)*Annahmen!$B$43</f>
        <v/>
      </c>
    </row>
    <row r="27" ht="15" customHeight="1" s="56">
      <c r="A27" s="85" t="inlineStr">
        <is>
          <t>Reguläre Tilgung (€)</t>
        </is>
      </c>
      <c r="C27" s="110">
        <f>IF(C4&gt;Annahmen!$B$44*12,Annahmen!$B$47,0)</f>
        <v/>
      </c>
      <c r="D27" s="110">
        <f>IF(D4&gt;Annahmen!$B$44*12,Annahmen!$B$47,0)</f>
        <v/>
      </c>
      <c r="E27" s="110">
        <f>IF(E4&gt;Annahmen!$B$44*12,Annahmen!$B$47,0)</f>
        <v/>
      </c>
      <c r="F27" s="110">
        <f>IF(F4&gt;Annahmen!$B$44*12,Annahmen!$B$47,0)</f>
        <v/>
      </c>
      <c r="G27" s="110">
        <f>IF(G4&gt;Annahmen!$B$44*12,Annahmen!$B$47,0)</f>
        <v/>
      </c>
      <c r="H27" s="110">
        <f>IF(H4&gt;Annahmen!$B$44*12,Annahmen!$B$47,0)</f>
        <v/>
      </c>
      <c r="I27" s="110">
        <f>IF(I4&gt;Annahmen!$B$44*12,Annahmen!$B$47,0)</f>
        <v/>
      </c>
      <c r="J27" s="110">
        <f>IF(J4&gt;Annahmen!$B$44*12,Annahmen!$B$47,0)</f>
        <v/>
      </c>
      <c r="K27" s="110">
        <f>IF(K4&gt;Annahmen!$B$44*12,Annahmen!$B$47,0)</f>
        <v/>
      </c>
      <c r="L27" s="110">
        <f>IF(L4&gt;Annahmen!$B$44*12,Annahmen!$B$47,0)</f>
        <v/>
      </c>
      <c r="M27" s="110">
        <f>IF(M4&gt;Annahmen!$B$44*12,Annahmen!$B$47,0)</f>
        <v/>
      </c>
      <c r="N27" s="110">
        <f>IF(N4&gt;Annahmen!$B$44*12,Annahmen!$B$47,0)</f>
        <v/>
      </c>
      <c r="O27" s="110">
        <f>IF(O4&gt;Annahmen!$B$44*12,Annahmen!$B$47,0)</f>
        <v/>
      </c>
      <c r="P27" s="110">
        <f>IF(P4&gt;Annahmen!$B$44*12,Annahmen!$B$47,0)</f>
        <v/>
      </c>
      <c r="Q27" s="110">
        <f>IF(Q4&gt;Annahmen!$B$44*12,Annahmen!$B$47,0)</f>
        <v/>
      </c>
      <c r="R27" s="110">
        <f>IF(R4&gt;Annahmen!$B$44*12,Annahmen!$B$47,0)</f>
        <v/>
      </c>
      <c r="S27" s="110">
        <f>IF(S4&gt;Annahmen!$B$44*12,Annahmen!$B$47,0)</f>
        <v/>
      </c>
      <c r="T27" s="110">
        <f>IF(T4&gt;Annahmen!$B$44*12,Annahmen!$B$47,0)</f>
        <v/>
      </c>
      <c r="U27" s="110">
        <f>IF(U4&gt;Annahmen!$B$44*12,Annahmen!$B$47,0)</f>
        <v/>
      </c>
      <c r="V27" s="110">
        <f>IF(V4&gt;Annahmen!$B$44*12,Annahmen!$B$47,0)</f>
        <v/>
      </c>
      <c r="W27" s="110">
        <f>IF(W4&gt;Annahmen!$B$44*12,Annahmen!$B$47,0)</f>
        <v/>
      </c>
      <c r="X27" s="110">
        <f>IF(X4&gt;Annahmen!$B$44*12,Annahmen!$B$47,0)</f>
        <v/>
      </c>
      <c r="Y27" s="110">
        <f>IF(Y4&gt;Annahmen!$B$44*12,Annahmen!$B$47,0)</f>
        <v/>
      </c>
      <c r="Z27" s="110">
        <f>IF(Z4&gt;Annahmen!$B$44*12,Annahmen!$B$47,0)</f>
        <v/>
      </c>
      <c r="AA27" s="110">
        <f>IF(AA4&gt;Annahmen!$B$44*12,Annahmen!$B$47,0)</f>
        <v/>
      </c>
      <c r="AB27" s="110">
        <f>IF(AB4&gt;Annahmen!$B$44*12,Annahmen!$B$47,0)</f>
        <v/>
      </c>
      <c r="AC27" s="110">
        <f>IF(AC4&gt;Annahmen!$B$44*12,Annahmen!$B$47,0)</f>
        <v/>
      </c>
      <c r="AD27" s="110">
        <f>IF(AD4&gt;Annahmen!$B$44*12,Annahmen!$B$47,0)</f>
        <v/>
      </c>
      <c r="AE27" s="110">
        <f>IF(AE4&gt;Annahmen!$B$44*12,Annahmen!$B$47,0)</f>
        <v/>
      </c>
      <c r="AF27" s="110">
        <f>IF(AF4&gt;Annahmen!$B$44*12,Annahmen!$B$47,0)</f>
        <v/>
      </c>
      <c r="AG27" s="110">
        <f>IF(AG4&gt;Annahmen!$B$44*12,Annahmen!$B$47,0)</f>
        <v/>
      </c>
      <c r="AH27" s="110">
        <f>IF(AH4&gt;Annahmen!$B$44*12,Annahmen!$B$47,0)</f>
        <v/>
      </c>
      <c r="AI27" s="110">
        <f>IF(AI4&gt;Annahmen!$B$44*12,Annahmen!$B$47,0)</f>
        <v/>
      </c>
      <c r="AJ27" s="110">
        <f>IF(AJ4&gt;Annahmen!$B$44*12,Annahmen!$B$47,0)</f>
        <v/>
      </c>
      <c r="AK27" s="110">
        <f>IF(AK4&gt;Annahmen!$B$44*12,Annahmen!$B$47,0)</f>
        <v/>
      </c>
      <c r="AL27" s="110">
        <f>IF(AL4&gt;Annahmen!$B$44*12,Annahmen!$B$47,0)</f>
        <v/>
      </c>
    </row>
    <row r="28" ht="15" customHeight="1" s="56">
      <c r="A28" s="85" t="inlineStr">
        <is>
          <t>Kreditsaldo Ende (€)</t>
        </is>
      </c>
      <c r="C28" s="107">
        <f>C24-C25-C27</f>
        <v/>
      </c>
      <c r="D28" s="107">
        <f>D24-D25-D27</f>
        <v/>
      </c>
      <c r="E28" s="107">
        <f>E24-E25-E27</f>
        <v/>
      </c>
      <c r="F28" s="107">
        <f>F24-F25-F27</f>
        <v/>
      </c>
      <c r="G28" s="107">
        <f>G24-G25-G27</f>
        <v/>
      </c>
      <c r="H28" s="107">
        <f>H24-H25-H27</f>
        <v/>
      </c>
      <c r="I28" s="107">
        <f>I24-I25-I27</f>
        <v/>
      </c>
      <c r="J28" s="107">
        <f>J24-J25-J27</f>
        <v/>
      </c>
      <c r="K28" s="107">
        <f>K24-K25-K27</f>
        <v/>
      </c>
      <c r="L28" s="107">
        <f>L24-L25-L27</f>
        <v/>
      </c>
      <c r="M28" s="107">
        <f>M24-M25-M27</f>
        <v/>
      </c>
      <c r="N28" s="107">
        <f>N24-N25-N27</f>
        <v/>
      </c>
      <c r="O28" s="107">
        <f>O24-O25-O27</f>
        <v/>
      </c>
      <c r="P28" s="107">
        <f>P24-P25-P27</f>
        <v/>
      </c>
      <c r="Q28" s="107">
        <f>Q24-Q25-Q27</f>
        <v/>
      </c>
      <c r="R28" s="107">
        <f>R24-R25-R27</f>
        <v/>
      </c>
      <c r="S28" s="107">
        <f>S24-S25-S27</f>
        <v/>
      </c>
      <c r="T28" s="107">
        <f>T24-T25-T27</f>
        <v/>
      </c>
      <c r="U28" s="107">
        <f>U24-U25-U27</f>
        <v/>
      </c>
      <c r="V28" s="107">
        <f>V24-V25-V27</f>
        <v/>
      </c>
      <c r="W28" s="107">
        <f>W24-W25-W27</f>
        <v/>
      </c>
      <c r="X28" s="107">
        <f>X24-X25-X27</f>
        <v/>
      </c>
      <c r="Y28" s="107">
        <f>Y24-Y25-Y27</f>
        <v/>
      </c>
      <c r="Z28" s="107">
        <f>Z24-Z25-Z27</f>
        <v/>
      </c>
      <c r="AA28" s="107">
        <f>AA24-AA25-AA27</f>
        <v/>
      </c>
      <c r="AB28" s="107">
        <f>AB24-AB25-AB27</f>
        <v/>
      </c>
      <c r="AC28" s="107">
        <f>AC24-AC25-AC27</f>
        <v/>
      </c>
      <c r="AD28" s="107">
        <f>AD24-AD25-AD27</f>
        <v/>
      </c>
      <c r="AE28" s="107">
        <f>AE24-AE25-AE27</f>
        <v/>
      </c>
      <c r="AF28" s="107">
        <f>AF24-AF25-AF27</f>
        <v/>
      </c>
      <c r="AG28" s="107">
        <f>AG24-AG25-AG27</f>
        <v/>
      </c>
      <c r="AH28" s="107">
        <f>AH24-AH25-AH27</f>
        <v/>
      </c>
      <c r="AI28" s="107">
        <f>AI24-AI25-AI27</f>
        <v/>
      </c>
      <c r="AJ28" s="107">
        <f>AJ24-AJ25-AJ27</f>
        <v/>
      </c>
      <c r="AK28" s="107">
        <f>AK24-AK25-AK27</f>
        <v/>
      </c>
      <c r="AL28" s="107">
        <f>AL24-AL25-AL27</f>
        <v/>
      </c>
    </row>
    <row r="30" ht="15" customHeight="1" s="56">
      <c r="A30" s="72" t="inlineStr">
        <is>
          <t>EBT vor Steuern (€)</t>
        </is>
      </c>
      <c r="C30" s="109">
        <f>C22-C26</f>
        <v/>
      </c>
      <c r="D30" s="109">
        <f>D22-D26</f>
        <v/>
      </c>
      <c r="E30" s="109">
        <f>E22-E26</f>
        <v/>
      </c>
      <c r="F30" s="109">
        <f>F22-F26</f>
        <v/>
      </c>
      <c r="G30" s="109">
        <f>G22-G26</f>
        <v/>
      </c>
      <c r="H30" s="109">
        <f>H22-H26</f>
        <v/>
      </c>
      <c r="I30" s="109">
        <f>I22-I26</f>
        <v/>
      </c>
      <c r="J30" s="109">
        <f>J22-J26</f>
        <v/>
      </c>
      <c r="K30" s="109">
        <f>K22-K26</f>
        <v/>
      </c>
      <c r="L30" s="109">
        <f>L22-L26</f>
        <v/>
      </c>
      <c r="M30" s="109">
        <f>M22-M26</f>
        <v/>
      </c>
      <c r="N30" s="109">
        <f>N22-N26</f>
        <v/>
      </c>
      <c r="O30" s="109">
        <f>O22-O26</f>
        <v/>
      </c>
      <c r="P30" s="109">
        <f>P22-P26</f>
        <v/>
      </c>
      <c r="Q30" s="109">
        <f>Q22-Q26</f>
        <v/>
      </c>
      <c r="R30" s="109">
        <f>R22-R26</f>
        <v/>
      </c>
      <c r="S30" s="109">
        <f>S22-S26</f>
        <v/>
      </c>
      <c r="T30" s="109">
        <f>T22-T26</f>
        <v/>
      </c>
      <c r="U30" s="109">
        <f>U22-U26</f>
        <v/>
      </c>
      <c r="V30" s="109">
        <f>V22-V26</f>
        <v/>
      </c>
      <c r="W30" s="109">
        <f>W22-W26</f>
        <v/>
      </c>
      <c r="X30" s="109">
        <f>X22-X26</f>
        <v/>
      </c>
      <c r="Y30" s="109">
        <f>Y22-Y26</f>
        <v/>
      </c>
      <c r="Z30" s="109">
        <f>Z22-Z26</f>
        <v/>
      </c>
      <c r="AA30" s="109">
        <f>AA22-AA26</f>
        <v/>
      </c>
      <c r="AB30" s="109">
        <f>AB22-AB26</f>
        <v/>
      </c>
      <c r="AC30" s="109">
        <f>AC22-AC26</f>
        <v/>
      </c>
      <c r="AD30" s="109">
        <f>AD22-AD26</f>
        <v/>
      </c>
      <c r="AE30" s="109">
        <f>AE22-AE26</f>
        <v/>
      </c>
      <c r="AF30" s="109">
        <f>AF22-AF26</f>
        <v/>
      </c>
      <c r="AG30" s="109">
        <f>AG22-AG26</f>
        <v/>
      </c>
      <c r="AH30" s="109">
        <f>AH22-AH26</f>
        <v/>
      </c>
      <c r="AI30" s="109">
        <f>AI22-AI26</f>
        <v/>
      </c>
      <c r="AJ30" s="109">
        <f>AJ22-AJ26</f>
        <v/>
      </c>
      <c r="AK30" s="109">
        <f>AK22-AK26</f>
        <v/>
      </c>
      <c r="AL30" s="109">
        <f>AL22-AL26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2026-06-14T18:01:16Z</dcterms:created>
  <dcterms:modified xsi:type="dcterms:W3CDTF">2026-07-16T16:20:15Z</dcterms:modified>
  <cp:revision>0</cp:revision>
</cp:coreProperties>
</file>