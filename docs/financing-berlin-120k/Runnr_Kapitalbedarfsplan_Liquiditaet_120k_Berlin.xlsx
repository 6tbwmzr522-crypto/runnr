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iquiditaet_24M" sheetId="1" state="visible" r:id="rId1"/>
    <sheet name="Annahmen" sheetId="2" state="visible" r:id="rId2"/>
    <sheet name="Kapitalbedarfsplan" sheetId="3" state="visible" r:id="rId3"/>
    <sheet name="Liquiditaetsplan" sheetId="4" state="visible" r:id="rId4"/>
    <sheet name="Monatsdetail_J1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€#,##0"/>
    <numFmt numFmtId="165" formatCode="0.0%"/>
    <numFmt numFmtId="166" formatCode="\€#,##0.00"/>
    <numFmt numFmtId="167" formatCode="0.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0000"/>
      <sz val="11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8000"/>
      <sz val="11"/>
    </font>
    <font>
      <b val="1"/>
      <sz val="12"/>
    </font>
    <font>
      <b val="1"/>
      <color rgb="00FFFFFF"/>
      <sz val="9"/>
    </font>
    <font>
      <b val="1"/>
    </font>
    <font/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" fontId="7" fillId="3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164" fontId="6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 wrapText="1"/>
    </xf>
    <xf numFmtId="0" fontId="8" fillId="4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center" vertical="bottom"/>
    </xf>
    <xf numFmtId="164" fontId="0" fillId="0" borderId="2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8" fillId="5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8" fillId="4" borderId="2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" fontId="12" fillId="0" borderId="2" applyAlignment="1" pivotButton="0" quotePrefix="0" xfId="0">
      <alignment horizontal="general" vertical="bottom"/>
    </xf>
    <xf numFmtId="1" fontId="0" fillId="0" borderId="2" applyAlignment="1" pivotButton="0" quotePrefix="0" xfId="0">
      <alignment horizontal="general" vertical="bottom"/>
    </xf>
    <xf numFmtId="167" fontId="0" fillId="0" borderId="2" applyAlignment="1" pivotButton="0" quotePrefix="0" xfId="0">
      <alignment horizontal="general" vertical="bottom"/>
    </xf>
    <xf numFmtId="164" fontId="12" fillId="0" borderId="2" applyAlignment="1" pivotButton="0" quotePrefix="0" xfId="0">
      <alignment horizontal="general" vertical="bottom"/>
    </xf>
    <xf numFmtId="0" fontId="0" fillId="0" borderId="0" pivotButton="0" quotePrefix="0" xfId="0"/>
    <xf numFmtId="0" fontId="13" fillId="0" borderId="0" pivotButton="0" quotePrefix="0" xfId="0"/>
    <xf numFmtId="0" fontId="14" fillId="6" borderId="0" applyAlignment="1" pivotButton="0" quotePrefix="0" xfId="0">
      <alignment horizontal="center" wrapText="1"/>
    </xf>
    <xf numFmtId="0" fontId="15" fillId="0" borderId="0" pivotButton="0" quotePrefix="0" xfId="0"/>
    <xf numFmtId="4" fontId="0" fillId="0" borderId="3" pivotButton="0" quotePrefix="0" xfId="0"/>
    <xf numFmtId="0" fontId="16" fillId="0" borderId="0" pivotButton="0" quotePrefix="0" xfId="0"/>
    <xf numFmtId="0" fontId="17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1" fontId="7" fillId="3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2" applyAlignment="1" pivotButton="0" quotePrefix="0" xfId="0">
      <alignment horizontal="general" vertical="bottom"/>
    </xf>
    <xf numFmtId="164" fontId="6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 wrapText="1"/>
    </xf>
    <xf numFmtId="0" fontId="8" fillId="4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center" vertical="bottom"/>
    </xf>
    <xf numFmtId="164" fontId="0" fillId="0" borderId="2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4" fontId="8" fillId="5" borderId="2" applyAlignment="1" pivotButton="0" quotePrefix="0" xfId="0">
      <alignment horizontal="general" vertical="bottom"/>
    </xf>
    <xf numFmtId="166" fontId="0" fillId="0" borderId="2" applyAlignment="1" pivotButton="0" quotePrefix="0" xfId="0">
      <alignment horizontal="general" vertical="bottom"/>
    </xf>
    <xf numFmtId="164" fontId="8" fillId="0" borderId="2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8" fillId="4" borderId="2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" fontId="12" fillId="0" borderId="2" applyAlignment="1" pivotButton="0" quotePrefix="0" xfId="0">
      <alignment horizontal="general" vertical="bottom"/>
    </xf>
    <xf numFmtId="1" fontId="0" fillId="0" borderId="2" applyAlignment="1" pivotButton="0" quotePrefix="0" xfId="0">
      <alignment horizontal="general" vertical="bottom"/>
    </xf>
    <xf numFmtId="167" fontId="0" fillId="0" borderId="2" applyAlignment="1" pivotButton="0" quotePrefix="0" xfId="0">
      <alignment horizontal="general" vertical="bottom"/>
    </xf>
    <xf numFmtId="164" fontId="12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cols>
    <col width="28" customWidth="1" style="39" min="1" max="1"/>
    <col width="14" customWidth="1" style="39" min="2" max="2"/>
    <col width="10" customWidth="1" style="39" min="3" max="3"/>
    <col width="10" customWidth="1" style="39" min="4" max="4"/>
    <col width="10" customWidth="1" style="39" min="5" max="5"/>
    <col width="10" customWidth="1" style="39" min="6" max="6"/>
    <col width="10" customWidth="1" style="39" min="7" max="7"/>
    <col width="10" customWidth="1" style="39" min="8" max="8"/>
    <col width="10" customWidth="1" style="39" min="9" max="9"/>
    <col width="10" customWidth="1" style="39" min="10" max="10"/>
    <col width="10" customWidth="1" style="39" min="11" max="11"/>
    <col width="10" customWidth="1" style="39" min="12" max="12"/>
    <col width="10" customWidth="1" style="39" min="13" max="13"/>
    <col width="10" customWidth="1" style="39" min="14" max="14"/>
    <col width="10" customWidth="1" style="39" min="15" max="15"/>
    <col width="10" customWidth="1" style="39" min="16" max="16"/>
    <col width="10" customWidth="1" style="39" min="17" max="17"/>
    <col width="10" customWidth="1" style="39" min="18" max="18"/>
    <col width="10" customWidth="1" style="39" min="19" max="19"/>
    <col width="10" customWidth="1" style="39" min="20" max="20"/>
    <col width="10" customWidth="1" style="39" min="21" max="21"/>
    <col width="10" customWidth="1" style="39" min="22" max="22"/>
    <col width="10" customWidth="1" style="39" min="23" max="23"/>
    <col width="10" customWidth="1" style="39" min="24" max="24"/>
    <col width="10" customWidth="1" style="39" min="25" max="25"/>
    <col width="10" customWidth="1" style="39" min="26" max="26"/>
  </cols>
  <sheetData>
    <row r="1">
      <c r="A1" s="40" t="inlineStr">
        <is>
          <t>Liquiditätsplan 24 Monate — Thin Ice Digital UG · KfW StartGeld €120.000 (ohne IBB ProFIT Basisfall) · Berliner Volksbank Vorprüfung</t>
        </is>
      </c>
    </row>
    <row r="2">
      <c r="A2" t="inlineStr">
        <is>
          <t>Anforderung Volksbank: monatliche Liquidität ≥ 24 Monate. Umsatz/Wareneinsatz/GF aus Rentabilitätsmodell; Werbung leaner; Zinsen auf €120k tilgungsfrei.</t>
        </is>
      </c>
    </row>
    <row r="4">
      <c r="A4" s="41" t="inlineStr">
        <is>
          <t>Position</t>
        </is>
      </c>
      <c r="B4" s="41" t="inlineStr">
        <is>
          <t>Einheit</t>
        </is>
      </c>
      <c r="C4" s="41" t="inlineStr">
        <is>
          <t>M1</t>
        </is>
      </c>
      <c r="D4" s="41" t="inlineStr">
        <is>
          <t>M2</t>
        </is>
      </c>
      <c r="E4" s="41" t="inlineStr">
        <is>
          <t>M3</t>
        </is>
      </c>
      <c r="F4" s="41" t="inlineStr">
        <is>
          <t>M4</t>
        </is>
      </c>
      <c r="G4" s="41" t="inlineStr">
        <is>
          <t>M5</t>
        </is>
      </c>
      <c r="H4" s="41" t="inlineStr">
        <is>
          <t>M6</t>
        </is>
      </c>
      <c r="I4" s="41" t="inlineStr">
        <is>
          <t>M7</t>
        </is>
      </c>
      <c r="J4" s="41" t="inlineStr">
        <is>
          <t>M8</t>
        </is>
      </c>
      <c r="K4" s="41" t="inlineStr">
        <is>
          <t>M9</t>
        </is>
      </c>
      <c r="L4" s="41" t="inlineStr">
        <is>
          <t>M10</t>
        </is>
      </c>
      <c r="M4" s="41" t="inlineStr">
        <is>
          <t>M11</t>
        </is>
      </c>
      <c r="N4" s="41" t="inlineStr">
        <is>
          <t>M12</t>
        </is>
      </c>
      <c r="O4" s="41" t="inlineStr">
        <is>
          <t>M13</t>
        </is>
      </c>
      <c r="P4" s="41" t="inlineStr">
        <is>
          <t>M14</t>
        </is>
      </c>
      <c r="Q4" s="41" t="inlineStr">
        <is>
          <t>M15</t>
        </is>
      </c>
      <c r="R4" s="41" t="inlineStr">
        <is>
          <t>M16</t>
        </is>
      </c>
      <c r="S4" s="41" t="inlineStr">
        <is>
          <t>M17</t>
        </is>
      </c>
      <c r="T4" s="41" t="inlineStr">
        <is>
          <t>M18</t>
        </is>
      </c>
      <c r="U4" s="41" t="inlineStr">
        <is>
          <t>M19</t>
        </is>
      </c>
      <c r="V4" s="41" t="inlineStr">
        <is>
          <t>M20</t>
        </is>
      </c>
      <c r="W4" s="41" t="inlineStr">
        <is>
          <t>M21</t>
        </is>
      </c>
      <c r="X4" s="41" t="inlineStr">
        <is>
          <t>M22</t>
        </is>
      </c>
      <c r="Y4" s="41" t="inlineStr">
        <is>
          <t>M23</t>
        </is>
      </c>
      <c r="Z4" s="41" t="inlineStr">
        <is>
          <t>M24</t>
        </is>
      </c>
    </row>
    <row r="5">
      <c r="A5" t="inlineStr">
        <is>
          <t>Periode</t>
        </is>
      </c>
      <c r="B5" t="inlineStr"/>
      <c r="C5" t="inlineStr">
        <is>
          <t>Jul-26</t>
        </is>
      </c>
      <c r="D5" t="inlineStr">
        <is>
          <t>Aug-26</t>
        </is>
      </c>
      <c r="E5" t="inlineStr">
        <is>
          <t>Sep-26</t>
        </is>
      </c>
      <c r="F5" t="inlineStr">
        <is>
          <t>Okt-26</t>
        </is>
      </c>
      <c r="G5" t="inlineStr">
        <is>
          <t>Nov-26</t>
        </is>
      </c>
      <c r="H5" t="inlineStr">
        <is>
          <t>Dez-26</t>
        </is>
      </c>
      <c r="I5" t="inlineStr">
        <is>
          <t>Jan-27</t>
        </is>
      </c>
      <c r="J5" t="inlineStr">
        <is>
          <t>Feb-27</t>
        </is>
      </c>
      <c r="K5" t="inlineStr">
        <is>
          <t>Mär-27</t>
        </is>
      </c>
      <c r="L5" t="inlineStr">
        <is>
          <t>Apr-27</t>
        </is>
      </c>
      <c r="M5" t="inlineStr">
        <is>
          <t>Mai-27</t>
        </is>
      </c>
      <c r="N5" t="inlineStr">
        <is>
          <t>Jun-27</t>
        </is>
      </c>
      <c r="O5" t="inlineStr">
        <is>
          <t>Jul-27</t>
        </is>
      </c>
      <c r="P5" t="inlineStr">
        <is>
          <t>Aug-27</t>
        </is>
      </c>
      <c r="Q5" t="inlineStr">
        <is>
          <t>Sep-27</t>
        </is>
      </c>
      <c r="R5" t="inlineStr">
        <is>
          <t>Okt-27</t>
        </is>
      </c>
      <c r="S5" t="inlineStr">
        <is>
          <t>Nov-27</t>
        </is>
      </c>
      <c r="T5" t="inlineStr">
        <is>
          <t>Dez-27</t>
        </is>
      </c>
      <c r="U5" t="inlineStr">
        <is>
          <t>Jan-28</t>
        </is>
      </c>
      <c r="V5" t="inlineStr">
        <is>
          <t>Feb-28</t>
        </is>
      </c>
      <c r="W5" t="inlineStr">
        <is>
          <t>Mär-28</t>
        </is>
      </c>
      <c r="X5" t="inlineStr">
        <is>
          <t>Apr-28</t>
        </is>
      </c>
      <c r="Y5" t="inlineStr">
        <is>
          <t>Mai-28</t>
        </is>
      </c>
      <c r="Z5" t="inlineStr">
        <is>
          <t>Jun-28</t>
        </is>
      </c>
    </row>
    <row r="7">
      <c r="A7" s="42" t="inlineStr">
        <is>
          <t>Anfangsbestand</t>
        </is>
      </c>
      <c r="B7" t="inlineStr">
        <is>
          <t>€</t>
        </is>
      </c>
      <c r="C7" s="43" t="n">
        <v>0</v>
      </c>
      <c r="D7" s="43" t="n">
        <v>112130.23</v>
      </c>
      <c r="E7" s="43" t="n">
        <v>104363.5</v>
      </c>
      <c r="F7" s="43" t="n">
        <v>96794.75</v>
      </c>
      <c r="G7" s="43" t="n">
        <v>89613.87</v>
      </c>
      <c r="H7" s="43" t="n">
        <v>83010.78</v>
      </c>
      <c r="I7" s="43" t="n">
        <v>77175.38</v>
      </c>
      <c r="J7" s="43" t="n">
        <v>77964.22</v>
      </c>
      <c r="K7" s="43" t="n">
        <v>79667.66</v>
      </c>
      <c r="L7" s="43" t="n">
        <v>82285.7</v>
      </c>
      <c r="M7" s="43" t="n">
        <v>85723.39999999999</v>
      </c>
      <c r="N7" s="43" t="n">
        <v>89790.84</v>
      </c>
      <c r="O7" s="43" t="n">
        <v>94203.17999999999</v>
      </c>
      <c r="P7" s="43" t="n">
        <v>100682.15</v>
      </c>
      <c r="Q7" s="43" t="n">
        <v>107786.82</v>
      </c>
      <c r="R7" s="43" t="n">
        <v>115517.21</v>
      </c>
      <c r="S7" s="43" t="n">
        <v>125873.3</v>
      </c>
      <c r="T7" s="43" t="n">
        <v>136708.13</v>
      </c>
      <c r="U7" s="43" t="n">
        <v>148111.71</v>
      </c>
      <c r="V7" s="43" t="n">
        <v>159284.02</v>
      </c>
      <c r="W7" s="43" t="n">
        <v>171025.07</v>
      </c>
      <c r="X7" s="43" t="n">
        <v>183236.88</v>
      </c>
      <c r="Y7" s="43" t="n">
        <v>195979.46</v>
      </c>
      <c r="Z7" s="43" t="n">
        <v>209252.79</v>
      </c>
    </row>
    <row r="8">
      <c r="A8" s="44" t="inlineStr">
        <is>
          <t>Umsatz (Einzahlung)</t>
        </is>
      </c>
      <c r="B8" t="inlineStr">
        <is>
          <t>€</t>
        </is>
      </c>
      <c r="C8" s="43" t="n">
        <v>211</v>
      </c>
      <c r="D8" s="43" t="n">
        <v>527.5</v>
      </c>
      <c r="E8" s="43" t="n">
        <v>949.5</v>
      </c>
      <c r="F8" s="43" t="n">
        <v>1582.5</v>
      </c>
      <c r="G8" s="43" t="n">
        <v>2426.5</v>
      </c>
      <c r="H8" s="43" t="n">
        <v>3481.5</v>
      </c>
      <c r="I8" s="43" t="n">
        <v>4747.5</v>
      </c>
      <c r="J8" s="43" t="n">
        <v>6119</v>
      </c>
      <c r="K8" s="43" t="n">
        <v>7490.5</v>
      </c>
      <c r="L8" s="43" t="n">
        <v>8756.5</v>
      </c>
      <c r="M8" s="43" t="n">
        <v>9811.5</v>
      </c>
      <c r="N8" s="43" t="n">
        <v>10550</v>
      </c>
      <c r="O8" s="43" t="n">
        <v>12849.5</v>
      </c>
      <c r="P8" s="43" t="n">
        <v>13799</v>
      </c>
      <c r="Q8" s="43" t="n">
        <v>14748.5</v>
      </c>
      <c r="R8" s="43" t="n">
        <v>17698</v>
      </c>
      <c r="S8" s="43" t="n">
        <v>18494.2</v>
      </c>
      <c r="T8" s="43" t="n">
        <v>19380.4</v>
      </c>
      <c r="U8" s="43" t="n">
        <v>20266.6</v>
      </c>
      <c r="V8" s="43" t="n">
        <v>21152.8</v>
      </c>
      <c r="W8" s="43" t="n">
        <v>21936.8</v>
      </c>
      <c r="X8" s="43" t="n">
        <v>22780.8</v>
      </c>
      <c r="Y8" s="43" t="n">
        <v>23624.8</v>
      </c>
      <c r="Z8" s="43" t="n">
        <v>24468.8</v>
      </c>
    </row>
    <row r="9">
      <c r="A9" s="44" t="inlineStr">
        <is>
          <t>KfW-Auszahlung</t>
        </is>
      </c>
      <c r="B9" t="inlineStr">
        <is>
          <t>€</t>
        </is>
      </c>
      <c r="C9" s="43" t="n">
        <v>120000</v>
      </c>
      <c r="D9" s="43" t="n">
        <v>0</v>
      </c>
      <c r="E9" s="43" t="n">
        <v>0</v>
      </c>
      <c r="F9" s="43" t="n">
        <v>0</v>
      </c>
      <c r="G9" s="43" t="n">
        <v>0</v>
      </c>
      <c r="H9" s="43" t="n">
        <v>0</v>
      </c>
      <c r="I9" s="43" t="n">
        <v>0</v>
      </c>
      <c r="J9" s="43" t="n">
        <v>0</v>
      </c>
      <c r="K9" s="43" t="n">
        <v>0</v>
      </c>
      <c r="L9" s="43" t="n">
        <v>0</v>
      </c>
      <c r="M9" s="43" t="n">
        <v>0</v>
      </c>
      <c r="N9" s="43" t="n">
        <v>0</v>
      </c>
      <c r="O9" s="43" t="n">
        <v>0</v>
      </c>
      <c r="P9" s="43" t="n">
        <v>0</v>
      </c>
      <c r="Q9" s="43" t="n">
        <v>0</v>
      </c>
      <c r="R9" s="43" t="n">
        <v>0</v>
      </c>
      <c r="S9" s="43" t="n">
        <v>0</v>
      </c>
      <c r="T9" s="43" t="n">
        <v>0</v>
      </c>
      <c r="U9" s="43" t="n">
        <v>0</v>
      </c>
      <c r="V9" s="43" t="n">
        <v>0</v>
      </c>
      <c r="W9" s="43" t="n">
        <v>0</v>
      </c>
      <c r="X9" s="43" t="n">
        <v>0</v>
      </c>
      <c r="Y9" s="43" t="n">
        <v>0</v>
      </c>
      <c r="Z9" s="43" t="n">
        <v>0</v>
      </c>
    </row>
    <row r="10">
      <c r="A10" s="42" t="inlineStr">
        <is>
          <t>Summe Einzahlungen</t>
        </is>
      </c>
      <c r="B10" t="inlineStr">
        <is>
          <t>€</t>
        </is>
      </c>
      <c r="C10" s="43" t="n">
        <v>120211</v>
      </c>
      <c r="D10" s="43" t="n">
        <v>527.5</v>
      </c>
      <c r="E10" s="43" t="n">
        <v>949.5</v>
      </c>
      <c r="F10" s="43" t="n">
        <v>1582.5</v>
      </c>
      <c r="G10" s="43" t="n">
        <v>2426.5</v>
      </c>
      <c r="H10" s="43" t="n">
        <v>3481.5</v>
      </c>
      <c r="I10" s="43" t="n">
        <v>4747.5</v>
      </c>
      <c r="J10" s="43" t="n">
        <v>6119</v>
      </c>
      <c r="K10" s="43" t="n">
        <v>7490.5</v>
      </c>
      <c r="L10" s="43" t="n">
        <v>8756.5</v>
      </c>
      <c r="M10" s="43" t="n">
        <v>9811.5</v>
      </c>
      <c r="N10" s="43" t="n">
        <v>10550</v>
      </c>
      <c r="O10" s="43" t="n">
        <v>12849.5</v>
      </c>
      <c r="P10" s="43" t="n">
        <v>13799</v>
      </c>
      <c r="Q10" s="43" t="n">
        <v>14748.5</v>
      </c>
      <c r="R10" s="43" t="n">
        <v>17698</v>
      </c>
      <c r="S10" s="43" t="n">
        <v>18494.2</v>
      </c>
      <c r="T10" s="43" t="n">
        <v>19380.4</v>
      </c>
      <c r="U10" s="43" t="n">
        <v>20266.6</v>
      </c>
      <c r="V10" s="43" t="n">
        <v>21152.8</v>
      </c>
      <c r="W10" s="43" t="n">
        <v>21936.8</v>
      </c>
      <c r="X10" s="43" t="n">
        <v>22780.8</v>
      </c>
      <c r="Y10" s="43" t="n">
        <v>23624.8</v>
      </c>
      <c r="Z10" s="43" t="n">
        <v>24468.8</v>
      </c>
    </row>
    <row r="12">
      <c r="A12" s="44" t="inlineStr">
        <is>
          <t>Wareneinsatz / Hosting</t>
        </is>
      </c>
      <c r="B12" t="inlineStr">
        <is>
          <t>€</t>
        </is>
      </c>
      <c r="C12" s="43" t="n">
        <v>171.1</v>
      </c>
      <c r="D12" s="43" t="n">
        <v>202.75</v>
      </c>
      <c r="E12" s="43" t="n">
        <v>244.95</v>
      </c>
      <c r="F12" s="43" t="n">
        <v>308.25</v>
      </c>
      <c r="G12" s="43" t="n">
        <v>392.65</v>
      </c>
      <c r="H12" s="43" t="n">
        <v>498.15</v>
      </c>
      <c r="I12" s="43" t="n">
        <v>624.75</v>
      </c>
      <c r="J12" s="43" t="n">
        <v>761.9</v>
      </c>
      <c r="K12" s="43" t="n">
        <v>899.05</v>
      </c>
      <c r="L12" s="43" t="n">
        <v>1025.65</v>
      </c>
      <c r="M12" s="43" t="n">
        <v>1131.15</v>
      </c>
      <c r="N12" s="43" t="n">
        <v>1205</v>
      </c>
      <c r="O12" s="43" t="n">
        <v>1299.95</v>
      </c>
      <c r="P12" s="43" t="n">
        <v>1394.9</v>
      </c>
      <c r="Q12" s="43" t="n">
        <v>1489.85</v>
      </c>
      <c r="R12" s="43" t="n">
        <v>1584.8</v>
      </c>
      <c r="S12" s="43" t="n">
        <v>1673.42</v>
      </c>
      <c r="T12" s="43" t="n">
        <v>1762.04</v>
      </c>
      <c r="U12" s="43" t="n">
        <v>1850.66</v>
      </c>
      <c r="V12" s="43" t="n">
        <v>1939.28</v>
      </c>
      <c r="W12" s="43" t="n">
        <v>2023.68</v>
      </c>
      <c r="X12" s="43" t="n">
        <v>2108.08</v>
      </c>
      <c r="Y12" s="43" t="n">
        <v>2192.48</v>
      </c>
      <c r="Z12" s="43" t="n">
        <v>2276.88</v>
      </c>
    </row>
    <row r="13">
      <c r="A13" s="44" t="inlineStr">
        <is>
          <t>GF-Gehalt</t>
        </is>
      </c>
      <c r="B13" t="inlineStr">
        <is>
          <t>€</t>
        </is>
      </c>
      <c r="C13" s="43" t="n">
        <v>0</v>
      </c>
      <c r="D13" s="43" t="n">
        <v>0</v>
      </c>
      <c r="E13" s="43" t="n">
        <v>0</v>
      </c>
      <c r="F13" s="43" t="n">
        <v>0</v>
      </c>
      <c r="G13" s="43" t="n">
        <v>0</v>
      </c>
      <c r="H13" s="43" t="n">
        <v>0</v>
      </c>
      <c r="I13" s="43" t="n">
        <v>1000</v>
      </c>
      <c r="J13" s="43" t="n">
        <v>1137.93</v>
      </c>
      <c r="K13" s="43" t="n">
        <v>1275.86</v>
      </c>
      <c r="L13" s="43" t="n">
        <v>1413.79</v>
      </c>
      <c r="M13" s="43" t="n">
        <v>1551.72</v>
      </c>
      <c r="N13" s="43" t="n">
        <v>1689.66</v>
      </c>
      <c r="O13" s="43" t="n">
        <v>1827.59</v>
      </c>
      <c r="P13" s="43" t="n">
        <v>1965.52</v>
      </c>
      <c r="Q13" s="43" t="n">
        <v>2103.45</v>
      </c>
      <c r="R13" s="43" t="n">
        <v>2241.38</v>
      </c>
      <c r="S13" s="43" t="n">
        <v>2379.31</v>
      </c>
      <c r="T13" s="43" t="n">
        <v>2517.24</v>
      </c>
      <c r="U13" s="43" t="n">
        <v>3455.17</v>
      </c>
      <c r="V13" s="43" t="n">
        <v>3593.1</v>
      </c>
      <c r="W13" s="43" t="n">
        <v>3731.03</v>
      </c>
      <c r="X13" s="43" t="n">
        <v>3868.97</v>
      </c>
      <c r="Y13" s="43" t="n">
        <v>4006.9</v>
      </c>
      <c r="Z13" s="43" t="n">
        <v>4144.83</v>
      </c>
    </row>
    <row r="14">
      <c r="A14" s="44" t="inlineStr">
        <is>
          <t>Miete / Homeoffice</t>
        </is>
      </c>
      <c r="B14" t="inlineStr">
        <is>
          <t>€</t>
        </is>
      </c>
      <c r="C14" s="43" t="n">
        <v>150</v>
      </c>
      <c r="D14" s="43" t="n">
        <v>150</v>
      </c>
      <c r="E14" s="43" t="n">
        <v>150</v>
      </c>
      <c r="F14" s="43" t="n">
        <v>150</v>
      </c>
      <c r="G14" s="43" t="n">
        <v>150</v>
      </c>
      <c r="H14" s="43" t="n">
        <v>150</v>
      </c>
      <c r="I14" s="43" t="n">
        <v>150</v>
      </c>
      <c r="J14" s="43" t="n">
        <v>150</v>
      </c>
      <c r="K14" s="43" t="n">
        <v>150</v>
      </c>
      <c r="L14" s="43" t="n">
        <v>150</v>
      </c>
      <c r="M14" s="43" t="n">
        <v>150</v>
      </c>
      <c r="N14" s="43" t="n">
        <v>150</v>
      </c>
      <c r="O14" s="43" t="n">
        <v>150</v>
      </c>
      <c r="P14" s="43" t="n">
        <v>150</v>
      </c>
      <c r="Q14" s="43" t="n">
        <v>150</v>
      </c>
      <c r="R14" s="43" t="n">
        <v>150</v>
      </c>
      <c r="S14" s="43" t="n">
        <v>150</v>
      </c>
      <c r="T14" s="43" t="n">
        <v>150</v>
      </c>
      <c r="U14" s="43" t="n">
        <v>150</v>
      </c>
      <c r="V14" s="43" t="n">
        <v>150</v>
      </c>
      <c r="W14" s="43" t="n">
        <v>150</v>
      </c>
      <c r="X14" s="43" t="n">
        <v>150</v>
      </c>
      <c r="Y14" s="43" t="n">
        <v>150</v>
      </c>
      <c r="Z14" s="43" t="n">
        <v>150</v>
      </c>
    </row>
    <row r="15">
      <c r="A15" s="44" t="inlineStr">
        <is>
          <t>Werbung</t>
        </is>
      </c>
      <c r="B15" t="inlineStr">
        <is>
          <t>€</t>
        </is>
      </c>
      <c r="C15" s="43" t="n">
        <v>500</v>
      </c>
      <c r="D15" s="43" t="n">
        <v>681.8200000000001</v>
      </c>
      <c r="E15" s="43" t="n">
        <v>863.64</v>
      </c>
      <c r="F15" s="43" t="n">
        <v>1045.45</v>
      </c>
      <c r="G15" s="43" t="n">
        <v>1227.27</v>
      </c>
      <c r="H15" s="43" t="n">
        <v>1409.09</v>
      </c>
      <c r="I15" s="43" t="n">
        <v>1590.91</v>
      </c>
      <c r="J15" s="43" t="n">
        <v>1772.73</v>
      </c>
      <c r="K15" s="43" t="n">
        <v>1954.55</v>
      </c>
      <c r="L15" s="43" t="n">
        <v>2136.36</v>
      </c>
      <c r="M15" s="43" t="n">
        <v>2318.18</v>
      </c>
      <c r="N15" s="43" t="n">
        <v>2500</v>
      </c>
      <c r="O15" s="43" t="n">
        <v>2500</v>
      </c>
      <c r="P15" s="43" t="n">
        <v>2590.91</v>
      </c>
      <c r="Q15" s="43" t="n">
        <v>2681.82</v>
      </c>
      <c r="R15" s="43" t="n">
        <v>2772.73</v>
      </c>
      <c r="S15" s="43" t="n">
        <v>2863.64</v>
      </c>
      <c r="T15" s="43" t="n">
        <v>2954.55</v>
      </c>
      <c r="U15" s="43" t="n">
        <v>3045.45</v>
      </c>
      <c r="V15" s="43" t="n">
        <v>3136.36</v>
      </c>
      <c r="W15" s="43" t="n">
        <v>3227.27</v>
      </c>
      <c r="X15" s="43" t="n">
        <v>3318.18</v>
      </c>
      <c r="Y15" s="43" t="n">
        <v>3409.09</v>
      </c>
      <c r="Z15" s="43" t="n">
        <v>3500</v>
      </c>
    </row>
    <row r="16">
      <c r="A16" s="44" t="inlineStr">
        <is>
          <t>Buchführung</t>
        </is>
      </c>
      <c r="B16" t="inlineStr">
        <is>
          <t>€</t>
        </is>
      </c>
      <c r="C16" s="43" t="n">
        <v>200</v>
      </c>
      <c r="D16" s="43" t="n">
        <v>200</v>
      </c>
      <c r="E16" s="43" t="n">
        <v>200</v>
      </c>
      <c r="F16" s="43" t="n">
        <v>200</v>
      </c>
      <c r="G16" s="43" t="n">
        <v>200</v>
      </c>
      <c r="H16" s="43" t="n">
        <v>200</v>
      </c>
      <c r="I16" s="43" t="n">
        <v>200</v>
      </c>
      <c r="J16" s="43" t="n">
        <v>200</v>
      </c>
      <c r="K16" s="43" t="n">
        <v>200</v>
      </c>
      <c r="L16" s="43" t="n">
        <v>200</v>
      </c>
      <c r="M16" s="43" t="n">
        <v>200</v>
      </c>
      <c r="N16" s="43" t="n">
        <v>200</v>
      </c>
      <c r="O16" s="43" t="n">
        <v>200</v>
      </c>
      <c r="P16" s="43" t="n">
        <v>200</v>
      </c>
      <c r="Q16" s="43" t="n">
        <v>200</v>
      </c>
      <c r="R16" s="43" t="n">
        <v>200</v>
      </c>
      <c r="S16" s="43" t="n">
        <v>200</v>
      </c>
      <c r="T16" s="43" t="n">
        <v>200</v>
      </c>
      <c r="U16" s="43" t="n">
        <v>200</v>
      </c>
      <c r="V16" s="43" t="n">
        <v>200</v>
      </c>
      <c r="W16" s="43" t="n">
        <v>200</v>
      </c>
      <c r="X16" s="43" t="n">
        <v>200</v>
      </c>
      <c r="Y16" s="43" t="n">
        <v>200</v>
      </c>
      <c r="Z16" s="43" t="n">
        <v>200</v>
      </c>
    </row>
    <row r="17">
      <c r="A17" s="44" t="inlineStr">
        <is>
          <t>Zinsen KfW</t>
        </is>
      </c>
      <c r="B17" t="inlineStr">
        <is>
          <t>€</t>
        </is>
      </c>
      <c r="C17" s="43" t="n">
        <v>393</v>
      </c>
      <c r="D17" s="43" t="n">
        <v>393</v>
      </c>
      <c r="E17" s="43" t="n">
        <v>393</v>
      </c>
      <c r="F17" s="43" t="n">
        <v>393</v>
      </c>
      <c r="G17" s="43" t="n">
        <v>393</v>
      </c>
      <c r="H17" s="43" t="n">
        <v>393</v>
      </c>
      <c r="I17" s="43" t="n">
        <v>393</v>
      </c>
      <c r="J17" s="43" t="n">
        <v>393</v>
      </c>
      <c r="K17" s="43" t="n">
        <v>393</v>
      </c>
      <c r="L17" s="43" t="n">
        <v>393</v>
      </c>
      <c r="M17" s="43" t="n">
        <v>393</v>
      </c>
      <c r="N17" s="43" t="n">
        <v>393</v>
      </c>
      <c r="O17" s="43" t="n">
        <v>393</v>
      </c>
      <c r="P17" s="43" t="n">
        <v>393</v>
      </c>
      <c r="Q17" s="43" t="n">
        <v>393</v>
      </c>
      <c r="R17" s="43" t="n">
        <v>393</v>
      </c>
      <c r="S17" s="43" t="n">
        <v>393</v>
      </c>
      <c r="T17" s="43" t="n">
        <v>393</v>
      </c>
      <c r="U17" s="43" t="n">
        <v>393</v>
      </c>
      <c r="V17" s="43" t="n">
        <v>393</v>
      </c>
      <c r="W17" s="43" t="n">
        <v>393</v>
      </c>
      <c r="X17" s="43" t="n">
        <v>393</v>
      </c>
      <c r="Y17" s="43" t="n">
        <v>393</v>
      </c>
      <c r="Z17" s="43" t="n">
        <v>393</v>
      </c>
    </row>
    <row r="18">
      <c r="A18" s="44" t="inlineStr">
        <is>
          <t>Investition</t>
        </is>
      </c>
      <c r="B18" t="inlineStr">
        <is>
          <t>€</t>
        </is>
      </c>
      <c r="C18" s="43" t="n">
        <v>6666.67</v>
      </c>
      <c r="D18" s="43" t="n">
        <v>6666.67</v>
      </c>
      <c r="E18" s="43" t="n">
        <v>6666.67</v>
      </c>
      <c r="F18" s="43" t="n">
        <v>6666.67</v>
      </c>
      <c r="G18" s="43" t="n">
        <v>6666.67</v>
      </c>
      <c r="H18" s="43" t="n">
        <v>6666.67</v>
      </c>
      <c r="I18" s="43" t="n">
        <v>0</v>
      </c>
      <c r="J18" s="43" t="n">
        <v>0</v>
      </c>
      <c r="K18" s="43" t="n">
        <v>0</v>
      </c>
      <c r="L18" s="43" t="n">
        <v>0</v>
      </c>
      <c r="M18" s="43" t="n">
        <v>0</v>
      </c>
      <c r="N18" s="43" t="n">
        <v>0</v>
      </c>
      <c r="O18" s="43" t="n">
        <v>0</v>
      </c>
      <c r="P18" s="43" t="n">
        <v>0</v>
      </c>
      <c r="Q18" s="43" t="n">
        <v>0</v>
      </c>
      <c r="R18" s="43" t="n">
        <v>0</v>
      </c>
      <c r="S18" s="43" t="n">
        <v>0</v>
      </c>
      <c r="T18" s="43" t="n">
        <v>0</v>
      </c>
      <c r="U18" s="43" t="n">
        <v>0</v>
      </c>
      <c r="V18" s="43" t="n">
        <v>0</v>
      </c>
      <c r="W18" s="43" t="n">
        <v>0</v>
      </c>
      <c r="X18" s="43" t="n">
        <v>0</v>
      </c>
      <c r="Y18" s="43" t="n">
        <v>0</v>
      </c>
      <c r="Z18" s="43" t="n">
        <v>0</v>
      </c>
    </row>
    <row r="19">
      <c r="A19" s="42" t="inlineStr">
        <is>
          <t>Summe Auszahlungen</t>
        </is>
      </c>
      <c r="B19" t="inlineStr">
        <is>
          <t>€</t>
        </is>
      </c>
      <c r="C19" s="43" t="n">
        <v>8080.77</v>
      </c>
      <c r="D19" s="43" t="n">
        <v>8294.23</v>
      </c>
      <c r="E19" s="43" t="n">
        <v>8518.25</v>
      </c>
      <c r="F19" s="43" t="n">
        <v>8763.370000000001</v>
      </c>
      <c r="G19" s="43" t="n">
        <v>9029.59</v>
      </c>
      <c r="H19" s="43" t="n">
        <v>9316.91</v>
      </c>
      <c r="I19" s="43" t="n">
        <v>3958.66</v>
      </c>
      <c r="J19" s="43" t="n">
        <v>4415.56</v>
      </c>
      <c r="K19" s="43" t="n">
        <v>4872.46</v>
      </c>
      <c r="L19" s="43" t="n">
        <v>5318.81</v>
      </c>
      <c r="M19" s="43" t="n">
        <v>5744.06</v>
      </c>
      <c r="N19" s="43" t="n">
        <v>6137.66</v>
      </c>
      <c r="O19" s="43" t="n">
        <v>6370.54</v>
      </c>
      <c r="P19" s="43" t="n">
        <v>6694.33</v>
      </c>
      <c r="Q19" s="43" t="n">
        <v>7018.12</v>
      </c>
      <c r="R19" s="43" t="n">
        <v>7341.91</v>
      </c>
      <c r="S19" s="43" t="n">
        <v>7659.37</v>
      </c>
      <c r="T19" s="43" t="n">
        <v>7976.83</v>
      </c>
      <c r="U19" s="43" t="n">
        <v>9094.290000000001</v>
      </c>
      <c r="V19" s="43" t="n">
        <v>9411.75</v>
      </c>
      <c r="W19" s="43" t="n">
        <v>9724.99</v>
      </c>
      <c r="X19" s="43" t="n">
        <v>10038.23</v>
      </c>
      <c r="Y19" s="43" t="n">
        <v>10351.47</v>
      </c>
      <c r="Z19" s="43" t="n">
        <v>10664.71</v>
      </c>
    </row>
    <row r="21">
      <c r="A21" s="42" t="inlineStr">
        <is>
          <t>Monatssaldo</t>
        </is>
      </c>
      <c r="B21" t="inlineStr">
        <is>
          <t>€</t>
        </is>
      </c>
      <c r="C21" s="43" t="n">
        <v>112130.23</v>
      </c>
      <c r="D21" s="43" t="n">
        <v>-7766.73</v>
      </c>
      <c r="E21" s="43" t="n">
        <v>-7568.75</v>
      </c>
      <c r="F21" s="43" t="n">
        <v>-7180.87</v>
      </c>
      <c r="G21" s="43" t="n">
        <v>-6603.09</v>
      </c>
      <c r="H21" s="43" t="n">
        <v>-5835.41</v>
      </c>
      <c r="I21" s="43" t="n">
        <v>788.84</v>
      </c>
      <c r="J21" s="43" t="n">
        <v>1703.44</v>
      </c>
      <c r="K21" s="43" t="n">
        <v>2618.04</v>
      </c>
      <c r="L21" s="43" t="n">
        <v>3437.69</v>
      </c>
      <c r="M21" s="43" t="n">
        <v>4067.44</v>
      </c>
      <c r="N21" s="43" t="n">
        <v>4412.34</v>
      </c>
      <c r="O21" s="43" t="n">
        <v>6478.96</v>
      </c>
      <c r="P21" s="43" t="n">
        <v>7104.67</v>
      </c>
      <c r="Q21" s="43" t="n">
        <v>7730.38</v>
      </c>
      <c r="R21" s="43" t="n">
        <v>10356.09</v>
      </c>
      <c r="S21" s="43" t="n">
        <v>10834.83</v>
      </c>
      <c r="T21" s="43" t="n">
        <v>11403.57</v>
      </c>
      <c r="U21" s="43" t="n">
        <v>11172.31</v>
      </c>
      <c r="V21" s="43" t="n">
        <v>11741.05</v>
      </c>
      <c r="W21" s="43" t="n">
        <v>12211.81</v>
      </c>
      <c r="X21" s="43" t="n">
        <v>12742.57</v>
      </c>
      <c r="Y21" s="43" t="n">
        <v>13273.33</v>
      </c>
      <c r="Z21" s="43" t="n">
        <v>13804.09</v>
      </c>
    </row>
    <row r="22">
      <c r="A22" s="42" t="inlineStr">
        <is>
          <t>Endbestand / Kontostand</t>
        </is>
      </c>
      <c r="B22" t="inlineStr">
        <is>
          <t>€</t>
        </is>
      </c>
      <c r="C22" s="43" t="n">
        <v>112130.23</v>
      </c>
      <c r="D22" s="43" t="n">
        <v>104363.5</v>
      </c>
      <c r="E22" s="43" t="n">
        <v>96794.75</v>
      </c>
      <c r="F22" s="43" t="n">
        <v>89613.87</v>
      </c>
      <c r="G22" s="43" t="n">
        <v>83010.78</v>
      </c>
      <c r="H22" s="43" t="n">
        <v>77175.38</v>
      </c>
      <c r="I22" s="43" t="n">
        <v>77964.22</v>
      </c>
      <c r="J22" s="43" t="n">
        <v>79667.66</v>
      </c>
      <c r="K22" s="43" t="n">
        <v>82285.7</v>
      </c>
      <c r="L22" s="43" t="n">
        <v>85723.39999999999</v>
      </c>
      <c r="M22" s="43" t="n">
        <v>89790.84</v>
      </c>
      <c r="N22" s="43" t="n">
        <v>94203.17999999999</v>
      </c>
      <c r="O22" s="43" t="n">
        <v>100682.15</v>
      </c>
      <c r="P22" s="43" t="n">
        <v>107786.82</v>
      </c>
      <c r="Q22" s="43" t="n">
        <v>115517.21</v>
      </c>
      <c r="R22" s="43" t="n">
        <v>125873.3</v>
      </c>
      <c r="S22" s="43" t="n">
        <v>136708.13</v>
      </c>
      <c r="T22" s="43" t="n">
        <v>148111.71</v>
      </c>
      <c r="U22" s="43" t="n">
        <v>159284.02</v>
      </c>
      <c r="V22" s="43" t="n">
        <v>171025.07</v>
      </c>
      <c r="W22" s="43" t="n">
        <v>183236.88</v>
      </c>
      <c r="X22" s="43" t="n">
        <v>195979.46</v>
      </c>
      <c r="Y22" s="43" t="n">
        <v>209252.79</v>
      </c>
      <c r="Z22" s="43" t="n">
        <v>223056.88</v>
      </c>
    </row>
    <row r="24">
      <c r="A24" s="44" t="inlineStr">
        <is>
          <t>Kreditsaldo (€120k)</t>
        </is>
      </c>
      <c r="B24" t="inlineStr">
        <is>
          <t>€</t>
        </is>
      </c>
      <c r="C24" s="43" t="n">
        <v>120000</v>
      </c>
      <c r="D24" s="43" t="n">
        <v>120000</v>
      </c>
      <c r="E24" s="43" t="n">
        <v>120000</v>
      </c>
      <c r="F24" s="43" t="n">
        <v>120000</v>
      </c>
      <c r="G24" s="43" t="n">
        <v>120000</v>
      </c>
      <c r="H24" s="43" t="n">
        <v>120000</v>
      </c>
      <c r="I24" s="43" t="n">
        <v>120000</v>
      </c>
      <c r="J24" s="43" t="n">
        <v>120000</v>
      </c>
      <c r="K24" s="43" t="n">
        <v>120000</v>
      </c>
      <c r="L24" s="43" t="n">
        <v>120000</v>
      </c>
      <c r="M24" s="43" t="n">
        <v>120000</v>
      </c>
      <c r="N24" s="43" t="n">
        <v>120000</v>
      </c>
      <c r="O24" s="43" t="n">
        <v>120000</v>
      </c>
      <c r="P24" s="43" t="n">
        <v>120000</v>
      </c>
      <c r="Q24" s="43" t="n">
        <v>120000</v>
      </c>
      <c r="R24" s="43" t="n">
        <v>120000</v>
      </c>
      <c r="S24" s="43" t="n">
        <v>120000</v>
      </c>
      <c r="T24" s="43" t="n">
        <v>120000</v>
      </c>
      <c r="U24" s="43" t="n">
        <v>120000</v>
      </c>
      <c r="V24" s="43" t="n">
        <v>120000</v>
      </c>
      <c r="W24" s="43" t="n">
        <v>120000</v>
      </c>
      <c r="X24" s="43" t="n">
        <v>120000</v>
      </c>
      <c r="Y24" s="43" t="n">
        <v>120000</v>
      </c>
      <c r="Z24" s="43" t="n">
        <v>120000</v>
      </c>
    </row>
    <row r="27">
      <c r="A27" s="45" t="inlineStr">
        <is>
          <t>Jahresübersicht</t>
        </is>
      </c>
    </row>
    <row r="28">
      <c r="A28" t="inlineStr">
        <is>
          <t>Kennzahl</t>
        </is>
      </c>
      <c r="B28" t="inlineStr">
        <is>
          <t>Jahr 1 (M1–12)</t>
        </is>
      </c>
      <c r="C28" t="inlineStr">
        <is>
          <t>Jahr 2 (M13–24)</t>
        </is>
      </c>
    </row>
    <row r="29">
      <c r="A29" t="inlineStr">
        <is>
          <t>Umsatz Summe</t>
        </is>
      </c>
      <c r="B29" s="46" t="n">
        <v>56653.5</v>
      </c>
      <c r="C29" s="46" t="n">
        <v>231200.2</v>
      </c>
    </row>
    <row r="30">
      <c r="A30" t="inlineStr">
        <is>
          <t>Tiefster Kontostand</t>
        </is>
      </c>
      <c r="B30" s="46" t="n">
        <v>77175.38</v>
      </c>
      <c r="C30" s="46" t="n">
        <v>100682.15</v>
      </c>
    </row>
    <row r="31">
      <c r="A31" t="inlineStr">
        <is>
          <t>Kontostand Jahresende</t>
        </is>
      </c>
      <c r="B31" s="46" t="n">
        <v>94203.17999999999</v>
      </c>
      <c r="C31" s="46" t="n">
        <v>223056.88</v>
      </c>
    </row>
    <row r="32">
      <c r="A32" t="inlineStr">
        <is>
          <t>Negativer Monat?</t>
        </is>
      </c>
      <c r="B32" t="inlineStr">
        <is>
          <t>Nein</t>
        </is>
      </c>
      <c r="C32" t="inlineStr">
        <is>
          <t>Nein</t>
        </is>
      </c>
    </row>
  </sheetData>
  <mergeCells count="2"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47" min="1" max="1"/>
    <col width="14" customWidth="1" style="47" min="2" max="2"/>
    <col width="60" customWidth="1" style="47" min="3" max="3"/>
  </cols>
  <sheetData>
    <row r="1" ht="17.35" customHeight="1" s="39">
      <c r="A1" s="48" t="inlineStr">
        <is>
          <t>ANNAHMEN — Bottom-up-Treiber für Kapitalbedarfsplan &amp; Liquiditätsplan</t>
        </is>
      </c>
    </row>
    <row r="2" ht="15" customHeight="1" s="39">
      <c r="A2" s="49" t="inlineStr">
        <is>
          <t>Identisch zur Rentabilitätsvorschau (Jahr 1) + zusätzliche Annahmen für den Liquiditätsplan (Abschnitt 10).</t>
        </is>
      </c>
    </row>
    <row r="4" ht="15" customHeight="1" s="39">
      <c r="A4" s="50" t="inlineStr">
        <is>
          <t>1.  RUNNR SAAS — PREISE &amp; ABO-MIX</t>
        </is>
      </c>
      <c r="B4" s="51" t="n"/>
      <c r="C4" s="51" t="n"/>
    </row>
    <row r="5" ht="15" customHeight="1" s="39">
      <c r="A5" s="47" t="inlineStr">
        <is>
          <t>Basic-Tarif (€/Monat)</t>
        </is>
      </c>
      <c r="B5" s="52" t="n">
        <v>19</v>
      </c>
    </row>
    <row r="6" ht="15" customHeight="1" s="39">
      <c r="A6" s="47" t="inlineStr">
        <is>
          <t>Pro-Tarif (€/Monat)</t>
        </is>
      </c>
      <c r="B6" s="52" t="n">
        <v>25</v>
      </c>
    </row>
    <row r="7" ht="15" customHeight="1" s="39">
      <c r="A7" s="47" t="inlineStr">
        <is>
          <t>Anteil Pro-Tarif an Neuabos</t>
        </is>
      </c>
      <c r="B7" s="53" t="n">
        <v>0.35</v>
      </c>
    </row>
    <row r="8" ht="15" customHeight="1" s="39">
      <c r="A8" s="54" t="inlineStr">
        <is>
          <t>→ Blended ARPU (€/Monat)</t>
        </is>
      </c>
      <c r="B8" s="55">
        <f>B5*(1-B7)+B6*B7</f>
        <v/>
      </c>
    </row>
    <row r="10" ht="15" customHeight="1" s="39">
      <c r="A10" s="50" t="inlineStr">
        <is>
          <t>2.  BROKER-PARTNERSCHAFT — Flat-Fee pro Vermittlung (ab "Month 13")</t>
        </is>
      </c>
      <c r="B10" s="51" t="n"/>
      <c r="C10" s="51" t="n"/>
    </row>
    <row r="11" ht="15" customHeight="1" s="39">
      <c r="A11" s="47" t="inlineStr">
        <is>
          <t>CPA-Gebühr pro Vermittlung (€)</t>
        </is>
      </c>
      <c r="B11" s="56" t="n">
        <v>150</v>
      </c>
      <c r="C11" s="49" t="inlineStr">
        <is>
          <t>Platzhalter — irrelevant für Jahr 1 (Start erst Monat 13)</t>
        </is>
      </c>
    </row>
    <row r="12" ht="15" customHeight="1" s="39">
      <c r="A12" s="47" t="inlineStr">
        <is>
          <t>Konversionsrate Neuabo → Broker-Signup</t>
        </is>
      </c>
      <c r="B12" s="53" t="n">
        <v>0.2</v>
      </c>
    </row>
    <row r="13" ht="15" customHeight="1" s="39">
      <c r="A13" s="47" t="inlineStr">
        <is>
          <t>Startmonat (1–36)</t>
        </is>
      </c>
      <c r="B13" s="57" t="n">
        <v>13</v>
      </c>
    </row>
    <row r="15" ht="15" customHeight="1" s="39">
      <c r="A15" s="50" t="inlineStr">
        <is>
          <t>3.  WARENEINSATZ (Hosting, Infrastruktur, Plattformgebühren)</t>
        </is>
      </c>
      <c r="B15" s="51" t="n"/>
      <c r="C15" s="51" t="n"/>
    </row>
    <row r="16" ht="15" customHeight="1" s="39">
      <c r="A16" s="47" t="inlineStr">
        <is>
          <t>Whop-Plattformgebühr (% vom Runnr-Umsatz)</t>
        </is>
      </c>
      <c r="B16" s="53" t="n">
        <v>0.1</v>
      </c>
    </row>
    <row r="17" ht="15" customHeight="1" s="39">
      <c r="A17" s="47" t="inlineStr">
        <is>
          <t>Fixe Infrastrukturkosten (€/Monat)</t>
        </is>
      </c>
      <c r="B17" s="52" t="n">
        <v>150</v>
      </c>
    </row>
    <row r="19" ht="15" customHeight="1" s="39">
      <c r="A19" s="50" t="inlineStr">
        <is>
          <t>4.  PERSONALKOSTEN — Geschäftsführergehalt als linearer Ramp</t>
        </is>
      </c>
      <c r="B19" s="51" t="n"/>
      <c r="C19" s="51" t="n"/>
    </row>
    <row r="20" ht="15" customHeight="1" s="39">
      <c r="A20" s="47" t="inlineStr">
        <is>
          <t>Geschäftsführergehalt ab Monat 7 (Start, €/Monat)</t>
        </is>
      </c>
      <c r="B20" s="52" t="n">
        <v>1000</v>
      </c>
      <c r="C20" s="49" t="inlineStr">
        <is>
          <t>Nach ALG-I-Ende (Annahmen!B61). €0 in Monat 1-6, da Haushalt via ALG I+Kindergeld+Auslandseinkommen selbsttragend (Überschuss €1.715/Monat, siehe Selbstauskunft)</t>
        </is>
      </c>
    </row>
    <row r="21" ht="15" customHeight="1" s="39">
      <c r="A21" s="47" t="inlineStr">
        <is>
          <t>Geschäftsführergehalt Monat 36 (€/Monat)</t>
        </is>
      </c>
      <c r="B21" s="52" t="n">
        <v>5000</v>
      </c>
      <c r="C21" s="49" t="inlineStr">
        <is>
          <t>Zielwert Ende Jahr 3, unverändert — für Jahr 1 nur die Interpolation relevant</t>
        </is>
      </c>
    </row>
    <row r="22" ht="15" customHeight="1" s="39">
      <c r="A22" s="47" t="inlineStr">
        <is>
          <t>Freelancer-Honorar Jahr 2 (€/Monat)</t>
        </is>
      </c>
      <c r="B22" s="52" t="n">
        <v>800</v>
      </c>
      <c r="C22" s="49" t="inlineStr">
        <is>
          <t>irrelevant für Jahr 1</t>
        </is>
      </c>
    </row>
    <row r="23" ht="15" customHeight="1" s="39">
      <c r="A23" s="47" t="inlineStr">
        <is>
          <t>Freelancer-Honorar Jahr 3 (€/Monat)</t>
        </is>
      </c>
      <c r="B23" s="52" t="n">
        <v>1000</v>
      </c>
    </row>
    <row r="24" ht="15" customHeight="1" s="39">
      <c r="A24" s="47" t="inlineStr">
        <is>
          <t>Freelancer Startmonat (1–36)</t>
        </is>
      </c>
      <c r="B24" s="57" t="n">
        <v>500</v>
      </c>
    </row>
    <row r="25">
      <c r="B25" t="n">
        <v>2500</v>
      </c>
    </row>
    <row r="26" ht="15" customHeight="1" s="39">
      <c r="A26" s="50" t="inlineStr">
        <is>
          <t>5.  SONSTIGE BETRIEBSKOSTEN — Werbung als linearer Ramp</t>
        </is>
      </c>
      <c r="B26" s="51" t="n"/>
      <c r="C26" s="51" t="n"/>
    </row>
    <row r="27" ht="15" customHeight="1" s="39">
      <c r="A27" s="47" t="inlineStr">
        <is>
          <t>Miete / Homeoffice-Pauschale (€/Monat)</t>
        </is>
      </c>
      <c r="B27" s="52" t="n">
        <v>150</v>
      </c>
    </row>
    <row r="28" ht="15" customHeight="1" s="39">
      <c r="A28" s="47" t="inlineStr">
        <is>
          <t>Werbung Monat 1 (€/Monat)</t>
        </is>
      </c>
      <c r="B28" s="52" t="n">
        <v>600</v>
      </c>
      <c r="C28" s="49" t="inlineStr">
        <is>
          <t>entspricht der Ausgangsbasis für die Marketing-Zeile im Liquiditätsplan</t>
        </is>
      </c>
    </row>
    <row r="29" ht="15" customHeight="1" s="39">
      <c r="A29" s="47" t="inlineStr">
        <is>
          <t>Werbung Monat 36 (€/Monat)</t>
        </is>
      </c>
      <c r="B29" s="56" t="n">
        <v>3000</v>
      </c>
    </row>
    <row r="30" ht="15" customHeight="1" s="39">
      <c r="A30" s="47" t="inlineStr">
        <is>
          <t>Buchführung / Steuerberater (€/Monat)</t>
        </is>
      </c>
      <c r="B30" s="52" t="n">
        <v>200</v>
      </c>
    </row>
    <row r="32" ht="15" customHeight="1" s="39">
      <c r="A32" s="50" t="inlineStr">
        <is>
          <t>6.  INVESTITION &amp; ABSCHREIBUNG (AfA)</t>
        </is>
      </c>
      <c r="B32" s="51" t="n"/>
      <c r="C32" s="51" t="n"/>
    </row>
    <row r="33" ht="15" customHeight="1" s="39">
      <c r="A33" s="47" t="inlineStr">
        <is>
          <t>Investitionsvolumen (€)</t>
        </is>
      </c>
      <c r="B33" s="52" t="n">
        <v>40000</v>
      </c>
      <c r="C33" s="49" t="inlineStr">
        <is>
          <t>entspricht dem Investitionsanteil aus dem KfW-Antrag (Software/IP, Infrastruktur, Equipment)</t>
        </is>
      </c>
    </row>
    <row r="34" ht="15" customHeight="1" s="39">
      <c r="A34" s="47" t="inlineStr">
        <is>
          <t>Nutzungsdauer (Jahre)</t>
        </is>
      </c>
      <c r="B34" s="58" t="n">
        <v>3</v>
      </c>
    </row>
    <row r="35" ht="15" customHeight="1" s="39">
      <c r="A35" s="54" t="inlineStr">
        <is>
          <t>→ Jährliche AfA (€)</t>
        </is>
      </c>
      <c r="B35" s="59">
        <f>B33/B34</f>
        <v/>
      </c>
    </row>
    <row r="36" ht="15" customHeight="1" s="39">
      <c r="A36" s="54" t="inlineStr">
        <is>
          <t>→ Monatliche AfA (€)</t>
        </is>
      </c>
      <c r="B36" s="55">
        <f>B35/12</f>
        <v/>
      </c>
    </row>
    <row r="38" ht="15" customHeight="1" s="39">
      <c r="A38" s="50" t="inlineStr">
        <is>
          <t>7.  KFW-STARTGELD-DARLEHEN (067)</t>
        </is>
      </c>
      <c r="B38" s="51" t="n">
        <v>120000</v>
      </c>
      <c r="C38" s="51" t="n"/>
    </row>
    <row r="39" ht="15" customHeight="1" s="39">
      <c r="A39" s="47" t="inlineStr">
        <is>
          <t>Auszahlungsbetrag (€)</t>
        </is>
      </c>
      <c r="B39" s="52" t="n">
        <v>120000</v>
      </c>
    </row>
    <row r="40" ht="15" customHeight="1" s="39">
      <c r="A40" s="47" t="inlineStr">
        <is>
          <t>Restsaldo nach ProFIT-Sondertilgung (€)</t>
        </is>
      </c>
      <c r="B40" s="52" t="n">
        <v>0</v>
      </c>
    </row>
    <row r="41" ht="15" customHeight="1" s="39">
      <c r="A41" s="47" t="inlineStr">
        <is>
          <t>Monat der ProFIT-Sondertilgung (1–36)</t>
        </is>
      </c>
      <c r="B41" s="57" t="n">
        <v>6</v>
      </c>
      <c r="C41" s="49" t="inlineStr">
        <is>
          <t>Dezember 2026 = Monat 6</t>
        </is>
      </c>
    </row>
    <row r="42" ht="15" customHeight="1" s="39">
      <c r="A42" s="47" t="inlineStr">
        <is>
          <t>Effektiver Jahreszins</t>
        </is>
      </c>
      <c r="B42" s="60" t="n">
        <v>0.0393</v>
      </c>
    </row>
    <row r="43" ht="15" customHeight="1" s="39">
      <c r="A43" s="54" t="inlineStr">
        <is>
          <t>→ Monatlicher Zinssatz</t>
        </is>
      </c>
      <c r="B43" s="61">
        <f>B42/12</f>
        <v/>
      </c>
    </row>
    <row r="44" ht="15" customHeight="1" s="39">
      <c r="A44" s="47" t="inlineStr">
        <is>
          <t>Tilgungsfreie Anlaufjahre</t>
        </is>
      </c>
      <c r="B44" s="58" t="n">
        <v>2</v>
      </c>
    </row>
    <row r="45" ht="15" customHeight="1" s="39">
      <c r="A45" s="47" t="inlineStr">
        <is>
          <t>Gesamtlaufzeit (Jahre)</t>
        </is>
      </c>
      <c r="B45" s="58" t="n">
        <v>10</v>
      </c>
    </row>
    <row r="46" ht="15" customHeight="1" s="39">
      <c r="A46" s="54" t="inlineStr">
        <is>
          <t>→ Tilgungsmonate</t>
        </is>
      </c>
      <c r="B46" s="62">
        <f>(B45-B44)*12</f>
        <v/>
      </c>
    </row>
    <row r="47" ht="15" customHeight="1" s="39">
      <c r="A47" s="54" t="inlineStr">
        <is>
          <t>→ Monatliche Tilgung nach Anlaufzeit (€)</t>
        </is>
      </c>
      <c r="B47" s="55">
        <f>B40/B46</f>
        <v/>
      </c>
    </row>
    <row r="49" ht="15" customHeight="1" s="39">
      <c r="A49" s="50" t="inlineStr">
        <is>
          <t>8.  STEUERN</t>
        </is>
      </c>
      <c r="B49" s="51" t="n"/>
      <c r="C49" s="51" t="n"/>
    </row>
    <row r="50" ht="15" customHeight="1" s="39">
      <c r="A50" s="47" t="inlineStr">
        <is>
          <t>Effektiver Unternehmenssteuersatz (KSt 15% + Soli + GewSt)</t>
        </is>
      </c>
      <c r="B50" s="63" t="n">
        <v>0.3</v>
      </c>
      <c r="C50" s="49" t="inlineStr">
        <is>
          <t>Jahr 1 ohnehin Verlust → Steuern = 0</t>
        </is>
      </c>
    </row>
    <row r="52" ht="15" customHeight="1" s="39">
      <c r="A52" s="50" t="inlineStr">
        <is>
          <t>9.  GLACIFRAGA INSTITUTIONAL</t>
        </is>
      </c>
      <c r="B52" s="51" t="n"/>
      <c r="C52" s="51" t="n"/>
    </row>
    <row r="53" ht="15" customHeight="1" s="39">
      <c r="A53" s="49" t="inlineStr">
        <is>
          <t>Umsatz = 0 in Jahr 1 (Monatsdetail_J1 Zeile 13) — Pilotkunde startet erst Monat 16 (Jahr 2).</t>
        </is>
      </c>
    </row>
    <row r="55" ht="15" customHeight="1" s="39">
      <c r="A55" s="50" t="inlineStr">
        <is>
          <t>10.  LIQUIDITÄTSPLAN-ANNAHMEN (zusätzlich, nur Jahr 1)</t>
        </is>
      </c>
      <c r="B55" s="51" t="n"/>
      <c r="C55" s="51" t="n"/>
    </row>
    <row r="56" ht="15" customHeight="1" s="39">
      <c r="A56" s="47" t="inlineStr">
        <is>
          <t>Investitions-Auszahlungsdauer (Monate)</t>
        </is>
      </c>
      <c r="B56" s="58" t="n">
        <v>6</v>
      </c>
      <c r="C56" s="49" t="inlineStr">
        <is>
          <t>Platzhalter — Annahme: Investitionsvolumen wird gleichmäßig über die ersten 6 Monate ausgezahlt (Infrastruktur-/Software-Aufbau). Anpassen, falls anders geplant.</t>
        </is>
      </c>
    </row>
    <row r="57" ht="15" customHeight="1" s="39">
      <c r="A57" s="54" t="inlineStr">
        <is>
          <t>→ Monatliche Investitionsauszahlung (€)</t>
        </is>
      </c>
      <c r="B57" s="55">
        <f>B33/B56</f>
        <v/>
      </c>
    </row>
    <row r="58" ht="15" customHeight="1" s="39">
      <c r="A58" s="47" t="inlineStr">
        <is>
          <t>Anfangsbestand zu Monat 1 (€)</t>
        </is>
      </c>
      <c r="B58" s="52" t="n">
        <v>0</v>
      </c>
      <c r="C58" s="49" t="inlineStr">
        <is>
          <t>Kontostand vor KfW-Auszahlung</t>
        </is>
      </c>
    </row>
    <row r="60" ht="15" customHeight="1" s="39">
      <c r="A60" s="50" t="inlineStr">
        <is>
          <t>11.  PERSONAL-RAMP-TIMING (gemäß Selbstauskunft)</t>
        </is>
      </c>
      <c r="B60" s="51" t="n"/>
      <c r="C60" s="51" t="n"/>
    </row>
    <row r="61" ht="15" customHeight="1" s="39">
      <c r="A61" s="47" t="inlineStr">
        <is>
          <t>ALG-I-Endmonat (1–36)</t>
        </is>
      </c>
      <c r="B61" s="57" t="n">
        <v>6</v>
      </c>
      <c r="C61" s="49" t="inlineStr">
        <is>
          <t>Dez-26 = Monat 6. Bis dahin: GF-Gehalt = €0. Ab Monat 7: Ramp gemäß B20→B21.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47" min="1" max="1"/>
    <col width="16" customWidth="1" style="47" min="2" max="2"/>
    <col width="60" customWidth="1" style="47" min="3" max="3"/>
  </cols>
  <sheetData>
    <row r="1" ht="17.35" customHeight="1" s="39">
      <c r="A1" s="48" t="inlineStr">
        <is>
          <t>KAPITALBEDARFSPLAN — KfW-StartGeld (067)</t>
        </is>
      </c>
    </row>
    <row r="2" ht="15" customHeight="1" s="39">
      <c r="A2" s="49" t="inlineStr">
        <is>
          <t>Einmaliger Kapitalbedarf zur Gründung / Anlaufphase von Thin Ice Digital UG (Runnr &amp; Glacifraga)</t>
        </is>
      </c>
    </row>
    <row r="4" ht="15" customHeight="1" s="39">
      <c r="A4" s="50" t="inlineStr">
        <is>
          <t>1.  INVESTITIONSBEDARF</t>
        </is>
      </c>
      <c r="B4" s="51" t="n"/>
      <c r="C4" s="51" t="n"/>
    </row>
    <row r="5" ht="15" customHeight="1" s="39">
      <c r="A5" s="64" t="inlineStr">
        <is>
          <t>Software/IP-Entwicklung, Infrastruktur, Equipment (gesamt)</t>
        </is>
      </c>
      <c r="B5" s="65" t="n">
        <v>89000</v>
      </c>
      <c r="C5" s="49" t="inlineStr">
        <is>
          <t>Entspricht Annahmen!B33. Detailaufstellung gemäß ursprünglicher KfW-Antragsunterlage (Einzelpositionen dort verfügbar).</t>
        </is>
      </c>
    </row>
    <row r="7" ht="15" customHeight="1" s="39">
      <c r="A7" s="50" t="inlineStr">
        <is>
          <t>2.  BETRIEBSMITTEL</t>
        </is>
      </c>
      <c r="B7" s="51" t="n"/>
      <c r="C7" s="51" t="n"/>
    </row>
    <row r="8" ht="15" customHeight="1" s="39">
      <c r="A8" s="64" t="inlineStr">
        <is>
          <t>Working Capital Anlaufphase (Jahr 1, siehe Liquiditätsplan)</t>
        </is>
      </c>
      <c r="B8" s="65" t="n">
        <v>40000</v>
      </c>
      <c r="C8" s="49" t="inlineStr">
        <is>
          <t>Deckt den operativen Liquiditätsbedarf bis zur Profitabilität in Jahr 2 (Geschäftsführergehalt, Werbung, Wareneinsatz, Zinsen etc.)</t>
        </is>
      </c>
    </row>
    <row r="10" ht="15" customHeight="1" s="39">
      <c r="A10" s="50" t="inlineStr">
        <is>
          <t>3.  RESERVE</t>
        </is>
      </c>
      <c r="B10" s="51" t="n"/>
      <c r="C10" s="51" t="n"/>
    </row>
    <row r="11" ht="15" customHeight="1" s="39">
      <c r="A11" s="64" t="inlineStr">
        <is>
          <t>Working Capital Anlaufphase — Runnr-Launch, Marketing, GF-Gehalt ab Monat 7; ohne IBB-ProFIT-Abhängigkeit.</t>
        </is>
      </c>
      <c r="B11" s="65" t="n">
        <v>79000</v>
      </c>
      <c r="C11" s="49" t="inlineStr">
        <is>
          <t>Kleiner Puffer für einmalige Gründungsnebenkosten</t>
        </is>
      </c>
    </row>
    <row r="13" ht="15" customHeight="1" s="39">
      <c r="A13" s="50" t="inlineStr">
        <is>
          <t>GESAMTBEDARF (KfW-StartGeld-Antrag)</t>
        </is>
      </c>
      <c r="B13" s="66">
        <f>B5+B8+B11</f>
        <v/>
      </c>
      <c r="C13" s="51" t="n"/>
    </row>
    <row r="14">
      <c r="B14" t="n">
        <v>1000</v>
      </c>
    </row>
    <row r="15" ht="45" customHeight="1" s="39">
      <c r="A15" s="67" t="inlineStr">
        <is>
          <t>Hinweis: Die Aufteilung Investition/Betriebsmittel folgt der bereits eingereichten ProFIT-/KfW-Struktur (€89.000 Investitionsanteil + €80.000 Betriebsmittel + €1.000 Reserve = €170.000). Die Plausibilität der Betriebsmittel-Höhe wird im Liquiditätsplan (Sheet 'Liquiditaetsplan') Monat für Monat nachgewiesen.</t>
        </is>
      </c>
    </row>
    <row r="17">
      <c r="A17" t="inlineStr">
        <is>
          <t>KfW StartGeld €120.000. Software weitgehend fertig. 24-Monats-Liquidität siehe Blatt Liquiditaet_24M (Volksbank-Anforderung).</t>
        </is>
      </c>
      <c r="B17" t="n">
        <v>120000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47" min="1" max="1"/>
    <col width="4" customWidth="1" style="47" min="2" max="2"/>
    <col width="10" customWidth="1" style="47" min="3" max="14"/>
  </cols>
  <sheetData>
    <row r="1" ht="17.35" customHeight="1" s="39">
      <c r="A1" s="48" t="inlineStr">
        <is>
          <t>LIQUIDITÄTSPLAN — Jahr 1 (Jul-26 bis Jun-27)</t>
        </is>
      </c>
    </row>
    <row r="2" ht="27.75" customHeight="1" s="39">
      <c r="A2" s="68" t="inlineStr">
        <is>
          <t>Monatlicher Kontostand unter Annahme: KfW-Auszahlung €170.000 zu Monat 1, ProFIT-Zuwendung €81.200 zu Monat 6 (sofort als Sondertilgung an die Bank weitergeleitet).</t>
        </is>
      </c>
    </row>
    <row r="4" ht="15" customHeight="1" s="39">
      <c r="A4" s="54" t="inlineStr">
        <is>
          <t>Monatlicher Kontostand Jahr 1. Vollständige 24 Monate: Blatt Liquiditaet_24M.</t>
        </is>
      </c>
      <c r="C4" s="69" t="n">
        <v>1</v>
      </c>
      <c r="D4" s="69" t="n">
        <v>2</v>
      </c>
      <c r="E4" s="69" t="n">
        <v>3</v>
      </c>
      <c r="F4" s="69" t="n">
        <v>4</v>
      </c>
      <c r="G4" s="69" t="n">
        <v>5</v>
      </c>
      <c r="H4" s="69" t="n">
        <v>6</v>
      </c>
      <c r="I4" s="69" t="n">
        <v>7</v>
      </c>
      <c r="J4" s="69" t="n">
        <v>8</v>
      </c>
      <c r="K4" s="69" t="n">
        <v>9</v>
      </c>
      <c r="L4" s="69" t="n">
        <v>10</v>
      </c>
      <c r="M4" s="69" t="n">
        <v>11</v>
      </c>
      <c r="N4" s="69" t="n">
        <v>12</v>
      </c>
    </row>
    <row r="5" ht="15" customHeight="1" s="39">
      <c r="A5" s="54" t="inlineStr">
        <is>
          <t>Periode</t>
        </is>
      </c>
      <c r="C5" s="70" t="inlineStr">
        <is>
          <t>Jul-26</t>
        </is>
      </c>
      <c r="D5" s="70" t="inlineStr">
        <is>
          <t>Aug-26</t>
        </is>
      </c>
      <c r="E5" s="70" t="inlineStr">
        <is>
          <t>Sep-26</t>
        </is>
      </c>
      <c r="F5" s="70" t="inlineStr">
        <is>
          <t>Okt-26</t>
        </is>
      </c>
      <c r="G5" s="70" t="inlineStr">
        <is>
          <t>Nov-26</t>
        </is>
      </c>
      <c r="H5" s="70" t="inlineStr">
        <is>
          <t>Dez-26</t>
        </is>
      </c>
      <c r="I5" s="70" t="inlineStr">
        <is>
          <t>Jan-27</t>
        </is>
      </c>
      <c r="J5" s="70" t="inlineStr">
        <is>
          <t>Feb-27</t>
        </is>
      </c>
      <c r="K5" s="70" t="inlineStr">
        <is>
          <t>Mär-27</t>
        </is>
      </c>
      <c r="L5" s="70" t="inlineStr">
        <is>
          <t>Apr-27</t>
        </is>
      </c>
      <c r="M5" s="70" t="inlineStr">
        <is>
          <t>Mai-27</t>
        </is>
      </c>
      <c r="N5" s="70" t="inlineStr">
        <is>
          <t>Jun-27</t>
        </is>
      </c>
    </row>
    <row r="7" ht="15" customHeight="1" s="39">
      <c r="A7" s="54" t="inlineStr">
        <is>
          <t>Anfangsbestand (€)</t>
        </is>
      </c>
      <c r="C7" s="71" t="n">
        <v>1</v>
      </c>
      <c r="D7" s="71" t="n">
        <v>2</v>
      </c>
      <c r="E7" s="71" t="n">
        <v>3</v>
      </c>
      <c r="F7" s="71" t="n">
        <v>4</v>
      </c>
      <c r="G7" s="71" t="n">
        <v>5</v>
      </c>
      <c r="H7" s="71" t="n">
        <v>6</v>
      </c>
      <c r="I7" s="71" t="n">
        <v>7</v>
      </c>
      <c r="J7" s="71" t="n">
        <v>8</v>
      </c>
      <c r="K7" s="71" t="n">
        <v>9</v>
      </c>
      <c r="L7" s="71" t="n">
        <v>10</v>
      </c>
      <c r="M7" s="71" t="n">
        <v>11</v>
      </c>
      <c r="N7" s="71" t="n">
        <v>12</v>
      </c>
    </row>
    <row r="8">
      <c r="C8" t="inlineStr">
        <is>
          <t>Jul-26</t>
        </is>
      </c>
      <c r="D8" t="inlineStr">
        <is>
          <t>Aug-26</t>
        </is>
      </c>
      <c r="E8" t="inlineStr">
        <is>
          <t>Sep-26</t>
        </is>
      </c>
      <c r="F8" t="inlineStr">
        <is>
          <t>Okt-26</t>
        </is>
      </c>
      <c r="G8" t="inlineStr">
        <is>
          <t>Nov-26</t>
        </is>
      </c>
      <c r="H8" t="inlineStr">
        <is>
          <t>Dez-26</t>
        </is>
      </c>
      <c r="I8" t="inlineStr">
        <is>
          <t>Jan-27</t>
        </is>
      </c>
      <c r="J8" t="inlineStr">
        <is>
          <t>Feb-27</t>
        </is>
      </c>
      <c r="K8" t="inlineStr">
        <is>
          <t>Mär-27</t>
        </is>
      </c>
      <c r="L8" t="inlineStr">
        <is>
          <t>Apr-27</t>
        </is>
      </c>
      <c r="M8" t="inlineStr">
        <is>
          <t>Mai-27</t>
        </is>
      </c>
      <c r="N8" t="inlineStr">
        <is>
          <t>Jun-27</t>
        </is>
      </c>
    </row>
    <row r="9" ht="15" customHeight="1" s="39">
      <c r="A9" s="72" t="inlineStr">
        <is>
          <t>EINZAHLUNGEN</t>
        </is>
      </c>
      <c r="B9" s="51" t="n"/>
      <c r="C9" s="51" t="n">
        <v>0</v>
      </c>
      <c r="D9" s="51" t="n">
        <v>112130.23</v>
      </c>
      <c r="E9" s="51" t="n">
        <v>104363.5</v>
      </c>
      <c r="F9" s="51" t="n">
        <v>96794.75</v>
      </c>
      <c r="G9" s="51" t="n">
        <v>89613.87</v>
      </c>
      <c r="H9" s="51" t="n">
        <v>83010.78</v>
      </c>
      <c r="I9" s="51" t="n">
        <v>77175.38</v>
      </c>
      <c r="J9" s="51" t="n">
        <v>77964.22</v>
      </c>
      <c r="K9" s="51" t="n">
        <v>79667.66</v>
      </c>
      <c r="L9" s="51" t="n">
        <v>82285.7</v>
      </c>
      <c r="M9" s="51" t="n">
        <v>85723.39999999999</v>
      </c>
      <c r="N9" s="51" t="n">
        <v>89790.84</v>
      </c>
    </row>
    <row r="10" ht="15" customHeight="1" s="39">
      <c r="A10" s="64" t="inlineStr">
        <is>
          <t>Umsatzerlöse (Runnr SaaS)</t>
        </is>
      </c>
      <c r="C10" s="71">
        <f>Monatsdetail_J1!C13</f>
        <v/>
      </c>
      <c r="D10" s="71">
        <f>Monatsdetail_J1!D13</f>
        <v/>
      </c>
      <c r="E10" s="71">
        <f>Monatsdetail_J1!E13</f>
        <v/>
      </c>
      <c r="F10" s="71">
        <f>Monatsdetail_J1!F13</f>
        <v/>
      </c>
      <c r="G10" s="71">
        <f>Monatsdetail_J1!G13</f>
        <v/>
      </c>
      <c r="H10" s="71">
        <f>Monatsdetail_J1!H13</f>
        <v/>
      </c>
      <c r="I10" s="71">
        <f>Monatsdetail_J1!I13</f>
        <v/>
      </c>
      <c r="J10" s="71">
        <f>Monatsdetail_J1!J13</f>
        <v/>
      </c>
      <c r="K10" s="71">
        <f>Monatsdetail_J1!K13</f>
        <v/>
      </c>
      <c r="L10" s="71">
        <f>Monatsdetail_J1!L13</f>
        <v/>
      </c>
      <c r="M10" s="71">
        <f>Monatsdetail_J1!M13</f>
        <v/>
      </c>
      <c r="N10" s="71">
        <f>Monatsdetail_J1!N13</f>
        <v/>
      </c>
    </row>
    <row r="11" ht="15" customHeight="1" s="39">
      <c r="A11" s="64" t="inlineStr">
        <is>
          <t>KfW-Darlehen-Auszahlung</t>
        </is>
      </c>
      <c r="C11" s="71" t="n">
        <v>211</v>
      </c>
      <c r="D11" s="71" t="n">
        <v>527.5</v>
      </c>
      <c r="E11" s="71" t="n">
        <v>949.5</v>
      </c>
      <c r="F11" s="71" t="n">
        <v>1582.5</v>
      </c>
      <c r="G11" s="71" t="n">
        <v>2426.5</v>
      </c>
      <c r="H11" s="71" t="n">
        <v>3481.5</v>
      </c>
      <c r="I11" s="71" t="n">
        <v>4747.5</v>
      </c>
      <c r="J11" s="71" t="n">
        <v>6119</v>
      </c>
      <c r="K11" s="71" t="n">
        <v>7490.5</v>
      </c>
      <c r="L11" s="71" t="n">
        <v>8756.5</v>
      </c>
      <c r="M11" s="71" t="n">
        <v>9811.5</v>
      </c>
      <c r="N11" s="71" t="n">
        <v>10550</v>
      </c>
    </row>
    <row r="12" ht="15" customHeight="1" s="39">
      <c r="A12" s="64" t="inlineStr">
        <is>
          <t>ProFIT-Zuwendung (IBB)</t>
        </is>
      </c>
      <c r="C12" s="71" t="n">
        <v>120000</v>
      </c>
      <c r="D12" s="71" t="n">
        <v>0</v>
      </c>
      <c r="E12" s="71" t="n">
        <v>0</v>
      </c>
      <c r="F12" s="71" t="n">
        <v>0</v>
      </c>
      <c r="G12" s="71" t="n">
        <v>0</v>
      </c>
      <c r="H12" s="71" t="n">
        <v>0</v>
      </c>
      <c r="I12" s="71" t="n">
        <v>0</v>
      </c>
      <c r="J12" s="71" t="n">
        <v>0</v>
      </c>
      <c r="K12" s="71" t="n">
        <v>0</v>
      </c>
      <c r="L12" s="71" t="n">
        <v>0</v>
      </c>
      <c r="M12" s="71" t="n">
        <v>0</v>
      </c>
      <c r="N12" s="71" t="n">
        <v>0</v>
      </c>
    </row>
    <row r="13" ht="15" customHeight="1" s="39">
      <c r="A13" s="73" t="inlineStr">
        <is>
          <t>SUMME EINZAHLUNGEN</t>
        </is>
      </c>
      <c r="B13" s="74" t="n"/>
      <c r="C13" s="75" t="n">
        <v>0</v>
      </c>
      <c r="D13" s="75" t="n">
        <v>0</v>
      </c>
      <c r="E13" s="75" t="n">
        <v>0</v>
      </c>
      <c r="F13" s="75" t="n">
        <v>0</v>
      </c>
      <c r="G13" s="75" t="n">
        <v>0</v>
      </c>
      <c r="H13" s="75" t="n">
        <v>0</v>
      </c>
      <c r="I13" s="75" t="n">
        <v>0</v>
      </c>
      <c r="J13" s="75" t="n">
        <v>0</v>
      </c>
      <c r="K13" s="75" t="n">
        <v>0</v>
      </c>
      <c r="L13" s="75" t="n">
        <v>0</v>
      </c>
      <c r="M13" s="75" t="n">
        <v>0</v>
      </c>
      <c r="N13" s="75" t="n">
        <v>0</v>
      </c>
    </row>
    <row r="14">
      <c r="C14" t="n">
        <v>120211</v>
      </c>
      <c r="D14" t="n">
        <v>527.5</v>
      </c>
      <c r="E14" t="n">
        <v>949.5</v>
      </c>
      <c r="F14" t="n">
        <v>1582.5</v>
      </c>
      <c r="G14" t="n">
        <v>2426.5</v>
      </c>
      <c r="H14" t="n">
        <v>3481.5</v>
      </c>
      <c r="I14" t="n">
        <v>4747.5</v>
      </c>
      <c r="J14" t="n">
        <v>6119</v>
      </c>
      <c r="K14" t="n">
        <v>7490.5</v>
      </c>
      <c r="L14" t="n">
        <v>8756.5</v>
      </c>
      <c r="M14" t="n">
        <v>9811.5</v>
      </c>
      <c r="N14" t="n">
        <v>10550</v>
      </c>
    </row>
    <row r="15" ht="15" customHeight="1" s="39">
      <c r="A15" s="72" t="inlineStr">
        <is>
          <t>AUSZAHLUNGEN</t>
        </is>
      </c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</row>
    <row r="16" ht="15" customHeight="1" s="39">
      <c r="A16" s="64" t="inlineStr">
        <is>
          <t>Wareneinsatz</t>
        </is>
      </c>
      <c r="C16" s="71" t="n">
        <v>171.1</v>
      </c>
      <c r="D16" s="71" t="n">
        <v>202.75</v>
      </c>
      <c r="E16" s="71" t="n">
        <v>244.95</v>
      </c>
      <c r="F16" s="71" t="n">
        <v>308.25</v>
      </c>
      <c r="G16" s="71" t="n">
        <v>392.65</v>
      </c>
      <c r="H16" s="71" t="n">
        <v>498.15</v>
      </c>
      <c r="I16" s="71" t="n">
        <v>624.75</v>
      </c>
      <c r="J16" s="71" t="n">
        <v>761.9</v>
      </c>
      <c r="K16" s="71" t="n">
        <v>899.05</v>
      </c>
      <c r="L16" s="71" t="n">
        <v>1025.65</v>
      </c>
      <c r="M16" s="71" t="n">
        <v>1131.15</v>
      </c>
      <c r="N16" s="71" t="n">
        <v>1205</v>
      </c>
    </row>
    <row r="17" ht="15" customHeight="1" s="39">
      <c r="A17" s="64" t="inlineStr">
        <is>
          <t>Personal (Geschäftsführergehalt)</t>
        </is>
      </c>
      <c r="C17" s="71" t="n">
        <v>0</v>
      </c>
      <c r="D17" s="71" t="n">
        <v>0</v>
      </c>
      <c r="E17" s="71" t="n">
        <v>0</v>
      </c>
      <c r="F17" s="71" t="n">
        <v>0</v>
      </c>
      <c r="G17" s="71" t="n">
        <v>0</v>
      </c>
      <c r="H17" s="71" t="n">
        <v>0</v>
      </c>
      <c r="I17" s="71" t="n">
        <v>1000</v>
      </c>
      <c r="J17" s="71" t="n">
        <v>1137.93</v>
      </c>
      <c r="K17" s="71" t="n">
        <v>1275.86</v>
      </c>
      <c r="L17" s="71" t="n">
        <v>1413.79</v>
      </c>
      <c r="M17" s="71" t="n">
        <v>1551.72</v>
      </c>
      <c r="N17" s="71" t="n">
        <v>1689.66</v>
      </c>
    </row>
    <row r="18" ht="15" customHeight="1" s="39">
      <c r="A18" s="64" t="inlineStr">
        <is>
          <t>Miete / Homeoffice</t>
        </is>
      </c>
      <c r="C18" s="71" t="n">
        <v>150</v>
      </c>
      <c r="D18" s="71" t="n">
        <v>150</v>
      </c>
      <c r="E18" s="71" t="n">
        <v>150</v>
      </c>
      <c r="F18" s="71" t="n">
        <v>150</v>
      </c>
      <c r="G18" s="71" t="n">
        <v>150</v>
      </c>
      <c r="H18" s="71" t="n">
        <v>150</v>
      </c>
      <c r="I18" s="71" t="n">
        <v>150</v>
      </c>
      <c r="J18" s="71" t="n">
        <v>150</v>
      </c>
      <c r="K18" s="71" t="n">
        <v>150</v>
      </c>
      <c r="L18" s="71" t="n">
        <v>150</v>
      </c>
      <c r="M18" s="71" t="n">
        <v>150</v>
      </c>
      <c r="N18" s="71" t="n">
        <v>150</v>
      </c>
    </row>
    <row r="19" ht="15" customHeight="1" s="39">
      <c r="A19" s="64" t="inlineStr">
        <is>
          <t>Werbung</t>
        </is>
      </c>
      <c r="C19" s="71" t="n">
        <v>500</v>
      </c>
      <c r="D19" s="71" t="n">
        <v>681.8200000000001</v>
      </c>
      <c r="E19" s="71" t="n">
        <v>863.64</v>
      </c>
      <c r="F19" s="71" t="n">
        <v>1045.45</v>
      </c>
      <c r="G19" s="71" t="n">
        <v>1227.27</v>
      </c>
      <c r="H19" s="71" t="n">
        <v>1409.09</v>
      </c>
      <c r="I19" s="71" t="n">
        <v>1590.91</v>
      </c>
      <c r="J19" s="71" t="n">
        <v>1772.73</v>
      </c>
      <c r="K19" s="71" t="n">
        <v>1954.55</v>
      </c>
      <c r="L19" s="71" t="n">
        <v>2136.36</v>
      </c>
      <c r="M19" s="71" t="n">
        <v>2318.18</v>
      </c>
      <c r="N19" s="71" t="n">
        <v>2500</v>
      </c>
    </row>
    <row r="20" ht="15" customHeight="1" s="39">
      <c r="A20" s="64" t="inlineStr">
        <is>
          <t>Buchführung / Steuerberater</t>
        </is>
      </c>
      <c r="C20" s="71" t="n">
        <v>200</v>
      </c>
      <c r="D20" s="71" t="n">
        <v>200</v>
      </c>
      <c r="E20" s="71" t="n">
        <v>200</v>
      </c>
      <c r="F20" s="71" t="n">
        <v>200</v>
      </c>
      <c r="G20" s="71" t="n">
        <v>200</v>
      </c>
      <c r="H20" s="71" t="n">
        <v>200</v>
      </c>
      <c r="I20" s="71" t="n">
        <v>200</v>
      </c>
      <c r="J20" s="71" t="n">
        <v>200</v>
      </c>
      <c r="K20" s="71" t="n">
        <v>200</v>
      </c>
      <c r="L20" s="71" t="n">
        <v>200</v>
      </c>
      <c r="M20" s="71" t="n">
        <v>200</v>
      </c>
      <c r="N20" s="71" t="n">
        <v>200</v>
      </c>
    </row>
    <row r="21" ht="15" customHeight="1" s="39">
      <c r="A21" s="64" t="inlineStr">
        <is>
          <t>Zinsen (KfW-Darlehen)</t>
        </is>
      </c>
      <c r="C21" s="76" t="n">
        <v>393</v>
      </c>
      <c r="D21" s="76" t="n">
        <v>393</v>
      </c>
      <c r="E21" s="76" t="n">
        <v>393</v>
      </c>
      <c r="F21" s="76" t="n">
        <v>393</v>
      </c>
      <c r="G21" s="76" t="n">
        <v>393</v>
      </c>
      <c r="H21" s="76" t="n">
        <v>393</v>
      </c>
      <c r="I21" s="76" t="n">
        <v>393</v>
      </c>
      <c r="J21" s="76" t="n">
        <v>393</v>
      </c>
      <c r="K21" s="76" t="n">
        <v>393</v>
      </c>
      <c r="L21" s="76" t="n">
        <v>393</v>
      </c>
      <c r="M21" s="76" t="n">
        <v>393</v>
      </c>
      <c r="N21" s="76" t="n">
        <v>393</v>
      </c>
    </row>
    <row r="22" ht="15" customHeight="1" s="39">
      <c r="A22" s="64" t="inlineStr">
        <is>
          <t>Investitionsauszahlung</t>
        </is>
      </c>
      <c r="C22" s="76" t="n">
        <v>6666.67</v>
      </c>
      <c r="D22" s="76" t="n">
        <v>6666.67</v>
      </c>
      <c r="E22" s="76" t="n">
        <v>6666.67</v>
      </c>
      <c r="F22" s="76" t="n">
        <v>6666.67</v>
      </c>
      <c r="G22" s="76" t="n">
        <v>6666.67</v>
      </c>
      <c r="H22" s="76" t="n">
        <v>6666.67</v>
      </c>
      <c r="I22" s="76" t="n">
        <v>0</v>
      </c>
      <c r="J22" s="76" t="n">
        <v>0</v>
      </c>
      <c r="K22" s="76" t="n">
        <v>0</v>
      </c>
      <c r="L22" s="76" t="n">
        <v>0</v>
      </c>
      <c r="M22" s="76" t="n">
        <v>0</v>
      </c>
      <c r="N22" s="76" t="n">
        <v>0</v>
      </c>
    </row>
    <row r="23" ht="15" customHeight="1" s="39">
      <c r="A23" s="64" t="inlineStr">
        <is>
          <t>ProFIT-Sondertilgung an Bank</t>
        </is>
      </c>
      <c r="C23" s="71" t="n">
        <v>0</v>
      </c>
      <c r="D23" s="71" t="n">
        <v>0</v>
      </c>
      <c r="E23" s="71" t="n">
        <v>0</v>
      </c>
      <c r="F23" s="71" t="n">
        <v>0</v>
      </c>
      <c r="G23" s="71" t="n">
        <v>0</v>
      </c>
      <c r="H23" s="71" t="n">
        <v>0</v>
      </c>
      <c r="I23" s="71" t="n">
        <v>0</v>
      </c>
      <c r="J23" s="71" t="n">
        <v>0</v>
      </c>
      <c r="K23" s="71" t="n">
        <v>0</v>
      </c>
      <c r="L23" s="71" t="n">
        <v>0</v>
      </c>
      <c r="M23" s="71" t="n">
        <v>0</v>
      </c>
      <c r="N23" s="71" t="n">
        <v>0</v>
      </c>
    </row>
    <row r="24" ht="15" customHeight="1" s="39">
      <c r="A24" s="64" t="inlineStr">
        <is>
          <t>Reguläre Tilgung</t>
        </is>
      </c>
      <c r="C24" s="76" t="n">
        <v>0</v>
      </c>
      <c r="D24" s="76" t="n">
        <v>0</v>
      </c>
      <c r="E24" s="76" t="n">
        <v>0</v>
      </c>
      <c r="F24" s="76" t="n">
        <v>0</v>
      </c>
      <c r="G24" s="76" t="n">
        <v>0</v>
      </c>
      <c r="H24" s="76" t="n">
        <v>0</v>
      </c>
      <c r="I24" s="76" t="n">
        <v>0</v>
      </c>
      <c r="J24" s="76" t="n">
        <v>0</v>
      </c>
      <c r="K24" s="76" t="n">
        <v>0</v>
      </c>
      <c r="L24" s="76" t="n">
        <v>0</v>
      </c>
      <c r="M24" s="76" t="n">
        <v>0</v>
      </c>
      <c r="N24" s="76" t="n">
        <v>0</v>
      </c>
    </row>
    <row r="25" ht="15" customHeight="1" s="39">
      <c r="A25" s="64" t="inlineStr">
        <is>
          <t>Steuern</t>
        </is>
      </c>
      <c r="C25" s="71" t="n">
        <v>0</v>
      </c>
      <c r="D25" s="71" t="n">
        <v>0</v>
      </c>
      <c r="E25" s="71" t="n">
        <v>0</v>
      </c>
      <c r="F25" s="71" t="n">
        <v>0</v>
      </c>
      <c r="G25" s="71" t="n">
        <v>0</v>
      </c>
      <c r="H25" s="71" t="n">
        <v>0</v>
      </c>
      <c r="I25" s="71" t="n">
        <v>0</v>
      </c>
      <c r="J25" s="71" t="n">
        <v>0</v>
      </c>
      <c r="K25" s="71" t="n">
        <v>0</v>
      </c>
      <c r="L25" s="71" t="n">
        <v>0</v>
      </c>
      <c r="M25" s="71" t="n">
        <v>0</v>
      </c>
      <c r="N25" s="71" t="n">
        <v>0</v>
      </c>
      <c r="O25" s="49" t="inlineStr">
        <is>
          <t>Jahr 1 = Verlust → Steuern = 0 (siehe Rentabilitätsvorschau)</t>
        </is>
      </c>
    </row>
    <row r="26" ht="15" customHeight="1" s="39">
      <c r="A26" s="73" t="inlineStr">
        <is>
          <t>SUMME AUSZAHLUNGEN</t>
        </is>
      </c>
      <c r="B26" s="74" t="n"/>
      <c r="C26" s="75" t="n">
        <v>8080.77</v>
      </c>
      <c r="D26" s="75" t="n">
        <v>8294.23</v>
      </c>
      <c r="E26" s="75" t="n">
        <v>8518.25</v>
      </c>
      <c r="F26" s="75" t="n">
        <v>8763.370000000001</v>
      </c>
      <c r="G26" s="75" t="n">
        <v>9029.59</v>
      </c>
      <c r="H26" s="75" t="n">
        <v>9316.91</v>
      </c>
      <c r="I26" s="75" t="n">
        <v>3958.66</v>
      </c>
      <c r="J26" s="75" t="n">
        <v>4415.56</v>
      </c>
      <c r="K26" s="75" t="n">
        <v>4872.46</v>
      </c>
      <c r="L26" s="75" t="n">
        <v>5318.81</v>
      </c>
      <c r="M26" s="75" t="n">
        <v>5744.06</v>
      </c>
      <c r="N26" s="75" t="n">
        <v>6137.66</v>
      </c>
    </row>
    <row r="27">
      <c r="C27" t="n">
        <v>112130.23</v>
      </c>
      <c r="D27" t="n">
        <v>-7766.73</v>
      </c>
      <c r="E27" t="n">
        <v>-7568.75</v>
      </c>
      <c r="F27" t="n">
        <v>-7180.87</v>
      </c>
      <c r="G27" t="n">
        <v>-6603.09</v>
      </c>
      <c r="H27" t="n">
        <v>-5835.41</v>
      </c>
      <c r="I27" t="n">
        <v>788.84</v>
      </c>
      <c r="J27" t="n">
        <v>1703.44</v>
      </c>
      <c r="K27" t="n">
        <v>2618.04</v>
      </c>
      <c r="L27" t="n">
        <v>3437.69</v>
      </c>
      <c r="M27" t="n">
        <v>4067.44</v>
      </c>
      <c r="N27" t="n">
        <v>4412.34</v>
      </c>
    </row>
    <row r="28" ht="15" customHeight="1" s="39">
      <c r="A28" s="54" t="inlineStr">
        <is>
          <t>SALDO DES MONATS</t>
        </is>
      </c>
      <c r="C28" s="77" t="n">
        <v>112130.23</v>
      </c>
      <c r="D28" s="77" t="n">
        <v>104363.5</v>
      </c>
      <c r="E28" s="77" t="n">
        <v>96794.75</v>
      </c>
      <c r="F28" s="77" t="n">
        <v>89613.87</v>
      </c>
      <c r="G28" s="77" t="n">
        <v>83010.78</v>
      </c>
      <c r="H28" s="77" t="n">
        <v>77175.38</v>
      </c>
      <c r="I28" s="77" t="n">
        <v>77964.22</v>
      </c>
      <c r="J28" s="77" t="n">
        <v>79667.66</v>
      </c>
      <c r="K28" s="77" t="n">
        <v>82285.7</v>
      </c>
      <c r="L28" s="77" t="n">
        <v>85723.39999999999</v>
      </c>
      <c r="M28" s="77" t="n">
        <v>89790.84</v>
      </c>
      <c r="N28" s="77" t="n">
        <v>94203.17999999999</v>
      </c>
    </row>
    <row r="29" ht="15" customHeight="1" s="39">
      <c r="A29" s="78" t="inlineStr">
        <is>
          <t>ENDBESTAND</t>
        </is>
      </c>
      <c r="B29" s="79" t="n"/>
      <c r="C29" s="80">
        <f>C7+C28</f>
        <v/>
      </c>
      <c r="D29" s="80">
        <f>D7+D28</f>
        <v/>
      </c>
      <c r="E29" s="80">
        <f>E7+E28</f>
        <v/>
      </c>
      <c r="F29" s="80">
        <f>F7+F28</f>
        <v/>
      </c>
      <c r="G29" s="80">
        <f>G7+G28</f>
        <v/>
      </c>
      <c r="H29" s="80">
        <f>H7+H28</f>
        <v/>
      </c>
      <c r="I29" s="80">
        <f>I7+I28</f>
        <v/>
      </c>
      <c r="J29" s="80">
        <f>J7+J28</f>
        <v/>
      </c>
      <c r="K29" s="80">
        <f>K7+K28</f>
        <v/>
      </c>
      <c r="L29" s="80">
        <f>L7+L28</f>
        <v/>
      </c>
      <c r="M29" s="80">
        <f>M7+M28</f>
        <v/>
      </c>
      <c r="N29" s="80">
        <f>N7+N28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47" min="1" max="1"/>
    <col width="4" customWidth="1" style="47" min="2" max="2"/>
    <col width="10" customWidth="1" style="47" min="3" max="14"/>
  </cols>
  <sheetData>
    <row r="1" ht="17.35" customHeight="1" s="39">
      <c r="A1" s="48" t="inlineStr">
        <is>
          <t>MONATSDETAIL JAHR 1 — Jul-26 bis Jun-27 (identisch zu Rentabilitätsvorschau, nur Monate 1-12)</t>
        </is>
      </c>
    </row>
    <row r="2" ht="15" customHeight="1" s="39">
      <c r="A2" s="49" t="inlineStr">
        <is>
          <t>Grüne Zeilen = Eingaben (editierbar) | Schwarze Zeilen = Formeln</t>
        </is>
      </c>
    </row>
    <row r="4" ht="15" customHeight="1" s="39">
      <c r="A4" s="54" t="inlineStr">
        <is>
          <t>Monat #</t>
        </is>
      </c>
      <c r="C4" s="69" t="n">
        <v>1</v>
      </c>
      <c r="D4" s="69" t="n">
        <v>2</v>
      </c>
      <c r="E4" s="69" t="n">
        <v>3</v>
      </c>
      <c r="F4" s="69" t="n">
        <v>4</v>
      </c>
      <c r="G4" s="69" t="n">
        <v>5</v>
      </c>
      <c r="H4" s="69" t="n">
        <v>6</v>
      </c>
      <c r="I4" s="69" t="n">
        <v>7</v>
      </c>
      <c r="J4" s="69" t="n">
        <v>8</v>
      </c>
      <c r="K4" s="69" t="n">
        <v>9</v>
      </c>
      <c r="L4" s="69" t="n">
        <v>10</v>
      </c>
      <c r="M4" s="69" t="n">
        <v>11</v>
      </c>
      <c r="N4" s="69" t="n">
        <v>12</v>
      </c>
    </row>
    <row r="5" ht="15" customHeight="1" s="39">
      <c r="A5" s="54" t="inlineStr">
        <is>
          <t>Periode</t>
        </is>
      </c>
      <c r="C5" s="70" t="inlineStr">
        <is>
          <t>Jul-26</t>
        </is>
      </c>
      <c r="D5" s="70" t="inlineStr">
        <is>
          <t>Aug-26</t>
        </is>
      </c>
      <c r="E5" s="70" t="inlineStr">
        <is>
          <t>Sep-26</t>
        </is>
      </c>
      <c r="F5" s="70" t="inlineStr">
        <is>
          <t>Okt-26</t>
        </is>
      </c>
      <c r="G5" s="70" t="inlineStr">
        <is>
          <t>Nov-26</t>
        </is>
      </c>
      <c r="H5" s="70" t="inlineStr">
        <is>
          <t>Dez-26</t>
        </is>
      </c>
      <c r="I5" s="70" t="inlineStr">
        <is>
          <t>Jan-27</t>
        </is>
      </c>
      <c r="J5" s="70" t="inlineStr">
        <is>
          <t>Feb-27</t>
        </is>
      </c>
      <c r="K5" s="70" t="inlineStr">
        <is>
          <t>Mär-27</t>
        </is>
      </c>
      <c r="L5" s="70" t="inlineStr">
        <is>
          <t>Apr-27</t>
        </is>
      </c>
      <c r="M5" s="70" t="inlineStr">
        <is>
          <t>Mai-27</t>
        </is>
      </c>
      <c r="N5" s="70" t="inlineStr">
        <is>
          <t>Jun-27</t>
        </is>
      </c>
    </row>
    <row r="7" ht="15" customHeight="1" s="39">
      <c r="A7" s="81" t="inlineStr">
        <is>
          <t>Netto-Neuzugänge zahlende Abos (Stk.)</t>
        </is>
      </c>
      <c r="C7" s="82" t="n">
        <v>10</v>
      </c>
      <c r="D7" s="82" t="n">
        <v>15</v>
      </c>
      <c r="E7" s="82" t="n">
        <v>20</v>
      </c>
      <c r="F7" s="82" t="n">
        <v>30</v>
      </c>
      <c r="G7" s="82" t="n">
        <v>40</v>
      </c>
      <c r="H7" s="82" t="n">
        <v>50</v>
      </c>
      <c r="I7" s="82" t="n">
        <v>60</v>
      </c>
      <c r="J7" s="82" t="n">
        <v>65</v>
      </c>
      <c r="K7" s="82" t="n">
        <v>65</v>
      </c>
      <c r="L7" s="82" t="n">
        <v>60</v>
      </c>
      <c r="M7" s="82" t="n">
        <v>50</v>
      </c>
      <c r="N7" s="82" t="n">
        <v>35</v>
      </c>
    </row>
    <row r="8" ht="15" customHeight="1" s="39">
      <c r="A8" s="64" t="inlineStr">
        <is>
          <t>Kumulierte zahlende Abos (Stk.)</t>
        </is>
      </c>
      <c r="C8" s="83">
        <f>C7</f>
        <v/>
      </c>
      <c r="D8" s="83">
        <f>C8+D7</f>
        <v/>
      </c>
      <c r="E8" s="83">
        <f>D8+E7</f>
        <v/>
      </c>
      <c r="F8" s="83">
        <f>E8+F7</f>
        <v/>
      </c>
      <c r="G8" s="83">
        <f>F8+G7</f>
        <v/>
      </c>
      <c r="H8" s="83">
        <f>G8+H7</f>
        <v/>
      </c>
      <c r="I8" s="83">
        <f>H8+I7</f>
        <v/>
      </c>
      <c r="J8" s="83">
        <f>I8+J7</f>
        <v/>
      </c>
      <c r="K8" s="83">
        <f>J8+K7</f>
        <v/>
      </c>
      <c r="L8" s="83">
        <f>K8+L7</f>
        <v/>
      </c>
      <c r="M8" s="83">
        <f>L8+M7</f>
        <v/>
      </c>
      <c r="N8" s="83">
        <f>M8+N7</f>
        <v/>
      </c>
    </row>
    <row r="9" ht="15" customHeight="1" s="39">
      <c r="A9" s="64" t="inlineStr">
        <is>
          <t>Runnr SaaS-Umsatz (€)</t>
        </is>
      </c>
      <c r="C9" s="71">
        <f>C8*Annahmen!$B$8</f>
        <v/>
      </c>
      <c r="D9" s="71">
        <f>D8*Annahmen!$B$8</f>
        <v/>
      </c>
      <c r="E9" s="71">
        <f>E8*Annahmen!$B$8</f>
        <v/>
      </c>
      <c r="F9" s="71">
        <f>F8*Annahmen!$B$8</f>
        <v/>
      </c>
      <c r="G9" s="71">
        <f>G8*Annahmen!$B$8</f>
        <v/>
      </c>
      <c r="H9" s="71">
        <f>H8*Annahmen!$B$8</f>
        <v/>
      </c>
      <c r="I9" s="71">
        <f>I8*Annahmen!$B$8</f>
        <v/>
      </c>
      <c r="J9" s="71">
        <f>J8*Annahmen!$B$8</f>
        <v/>
      </c>
      <c r="K9" s="71">
        <f>K8*Annahmen!$B$8</f>
        <v/>
      </c>
      <c r="L9" s="71">
        <f>L8*Annahmen!$B$8</f>
        <v/>
      </c>
      <c r="M9" s="71">
        <f>M8*Annahmen!$B$8</f>
        <v/>
      </c>
      <c r="N9" s="71">
        <f>N8*Annahmen!$B$8</f>
        <v/>
      </c>
    </row>
    <row r="10" ht="15" customHeight="1" s="39">
      <c r="A10" s="64" t="inlineStr">
        <is>
          <t>Broker-Vermittlungen (Stk.)</t>
        </is>
      </c>
      <c r="C10" s="84">
        <f>IF(C4&gt;=Annahmen!$B$13,C7*Annahmen!$B$12,0)</f>
        <v/>
      </c>
      <c r="D10" s="84">
        <f>IF(D4&gt;=Annahmen!$B$13,D7*Annahmen!$B$12,0)</f>
        <v/>
      </c>
      <c r="E10" s="84">
        <f>IF(E4&gt;=Annahmen!$B$13,E7*Annahmen!$B$12,0)</f>
        <v/>
      </c>
      <c r="F10" s="84">
        <f>IF(F4&gt;=Annahmen!$B$13,F7*Annahmen!$B$12,0)</f>
        <v/>
      </c>
      <c r="G10" s="84">
        <f>IF(G4&gt;=Annahmen!$B$13,G7*Annahmen!$B$12,0)</f>
        <v/>
      </c>
      <c r="H10" s="84">
        <f>IF(H4&gt;=Annahmen!$B$13,H7*Annahmen!$B$12,0)</f>
        <v/>
      </c>
      <c r="I10" s="84">
        <f>IF(I4&gt;=Annahmen!$B$13,I7*Annahmen!$B$12,0)</f>
        <v/>
      </c>
      <c r="J10" s="84">
        <f>IF(J4&gt;=Annahmen!$B$13,J7*Annahmen!$B$12,0)</f>
        <v/>
      </c>
      <c r="K10" s="84">
        <f>IF(K4&gt;=Annahmen!$B$13,K7*Annahmen!$B$12,0)</f>
        <v/>
      </c>
      <c r="L10" s="84">
        <f>IF(L4&gt;=Annahmen!$B$13,L7*Annahmen!$B$12,0)</f>
        <v/>
      </c>
      <c r="M10" s="84">
        <f>IF(M4&gt;=Annahmen!$B$13,M7*Annahmen!$B$12,0)</f>
        <v/>
      </c>
      <c r="N10" s="84">
        <f>IF(N4&gt;=Annahmen!$B$13,N7*Annahmen!$B$12,0)</f>
        <v/>
      </c>
    </row>
    <row r="11" ht="15" customHeight="1" s="39">
      <c r="A11" s="64" t="inlineStr">
        <is>
          <t>Broker-Umsatz (€)</t>
        </is>
      </c>
      <c r="C11" s="71">
        <f>C10*Annahmen!$B$11</f>
        <v/>
      </c>
      <c r="D11" s="71">
        <f>D10*Annahmen!$B$11</f>
        <v/>
      </c>
      <c r="E11" s="71">
        <f>E10*Annahmen!$B$11</f>
        <v/>
      </c>
      <c r="F11" s="71">
        <f>F10*Annahmen!$B$11</f>
        <v/>
      </c>
      <c r="G11" s="71">
        <f>G10*Annahmen!$B$11</f>
        <v/>
      </c>
      <c r="H11" s="71">
        <f>H10*Annahmen!$B$11</f>
        <v/>
      </c>
      <c r="I11" s="71">
        <f>I10*Annahmen!$B$11</f>
        <v/>
      </c>
      <c r="J11" s="71">
        <f>J10*Annahmen!$B$11</f>
        <v/>
      </c>
      <c r="K11" s="71">
        <f>K10*Annahmen!$B$11</f>
        <v/>
      </c>
      <c r="L11" s="71">
        <f>L10*Annahmen!$B$11</f>
        <v/>
      </c>
      <c r="M11" s="71">
        <f>M10*Annahmen!$B$11</f>
        <v/>
      </c>
      <c r="N11" s="71">
        <f>N10*Annahmen!$B$11</f>
        <v/>
      </c>
    </row>
    <row r="12" ht="15" customHeight="1" s="39">
      <c r="A12" s="81" t="inlineStr">
        <is>
          <t>Glacifraga-Umsatz (€)</t>
        </is>
      </c>
      <c r="C12" s="85" t="n">
        <v>0</v>
      </c>
      <c r="D12" s="85" t="n">
        <v>0</v>
      </c>
      <c r="E12" s="85" t="n">
        <v>0</v>
      </c>
      <c r="F12" s="85" t="n">
        <v>0</v>
      </c>
      <c r="G12" s="85" t="n">
        <v>0</v>
      </c>
      <c r="H12" s="85" t="n">
        <v>0</v>
      </c>
      <c r="I12" s="85" t="n">
        <v>0</v>
      </c>
      <c r="J12" s="85" t="n">
        <v>0</v>
      </c>
      <c r="K12" s="85" t="n">
        <v>0</v>
      </c>
      <c r="L12" s="85" t="n">
        <v>0</v>
      </c>
      <c r="M12" s="85" t="n">
        <v>0</v>
      </c>
      <c r="N12" s="85" t="n">
        <v>0</v>
      </c>
    </row>
    <row r="13" ht="15" customHeight="1" s="39">
      <c r="A13" s="54" t="inlineStr">
        <is>
          <t>GESAMTUMSATZ (€)</t>
        </is>
      </c>
      <c r="C13" s="77">
        <f>C9+C11+C12</f>
        <v/>
      </c>
      <c r="D13" s="77">
        <f>D9+D11+D12</f>
        <v/>
      </c>
      <c r="E13" s="77">
        <f>E9+E11+E12</f>
        <v/>
      </c>
      <c r="F13" s="77">
        <f>F9+F11+F12</f>
        <v/>
      </c>
      <c r="G13" s="77">
        <f>G9+G11+G12</f>
        <v/>
      </c>
      <c r="H13" s="77">
        <f>H9+H11+H12</f>
        <v/>
      </c>
      <c r="I13" s="77">
        <f>I9+I11+I12</f>
        <v/>
      </c>
      <c r="J13" s="77">
        <f>J9+J11+J12</f>
        <v/>
      </c>
      <c r="K13" s="77">
        <f>K9+K11+K12</f>
        <v/>
      </c>
      <c r="L13" s="77">
        <f>L9+L11+L12</f>
        <v/>
      </c>
      <c r="M13" s="77">
        <f>M9+M11+M12</f>
        <v/>
      </c>
      <c r="N13" s="77">
        <f>N9+N11+N12</f>
        <v/>
      </c>
    </row>
    <row r="14" ht="15" customHeight="1" s="39">
      <c r="A14" s="64" t="inlineStr">
        <is>
          <t>Wareneinsatz (€)</t>
        </is>
      </c>
      <c r="C14" s="71">
        <f>C9*Annahmen!$B$16+Annahmen!$B$17</f>
        <v/>
      </c>
      <c r="D14" s="71">
        <f>D9*Annahmen!$B$16+Annahmen!$B$17</f>
        <v/>
      </c>
      <c r="E14" s="71">
        <f>E9*Annahmen!$B$16+Annahmen!$B$17</f>
        <v/>
      </c>
      <c r="F14" s="71">
        <f>F9*Annahmen!$B$16+Annahmen!$B$17</f>
        <v/>
      </c>
      <c r="G14" s="71">
        <f>G9*Annahmen!$B$16+Annahmen!$B$17</f>
        <v/>
      </c>
      <c r="H14" s="71">
        <f>H9*Annahmen!$B$16+Annahmen!$B$17</f>
        <v/>
      </c>
      <c r="I14" s="71">
        <f>I9*Annahmen!$B$16+Annahmen!$B$17</f>
        <v/>
      </c>
      <c r="J14" s="71">
        <f>J9*Annahmen!$B$16+Annahmen!$B$17</f>
        <v/>
      </c>
      <c r="K14" s="71">
        <f>K9*Annahmen!$B$16+Annahmen!$B$17</f>
        <v/>
      </c>
      <c r="L14" s="71">
        <f>L9*Annahmen!$B$16+Annahmen!$B$17</f>
        <v/>
      </c>
      <c r="M14" s="71">
        <f>M9*Annahmen!$B$16+Annahmen!$B$17</f>
        <v/>
      </c>
      <c r="N14" s="71">
        <f>N9*Annahmen!$B$16+Annahmen!$B$17</f>
        <v/>
      </c>
    </row>
    <row r="15" ht="15" customHeight="1" s="39">
      <c r="A15" s="54" t="inlineStr">
        <is>
          <t>Rohertrag (€)</t>
        </is>
      </c>
      <c r="C15" s="77">
        <f>C13-C14</f>
        <v/>
      </c>
      <c r="D15" s="77">
        <f>D13-D14</f>
        <v/>
      </c>
      <c r="E15" s="77">
        <f>E13-E14</f>
        <v/>
      </c>
      <c r="F15" s="77">
        <f>F13-F14</f>
        <v/>
      </c>
      <c r="G15" s="77">
        <f>G13-G14</f>
        <v/>
      </c>
      <c r="H15" s="77">
        <f>H13-H14</f>
        <v/>
      </c>
      <c r="I15" s="77">
        <f>I13-I14</f>
        <v/>
      </c>
      <c r="J15" s="77">
        <f>J13-J14</f>
        <v/>
      </c>
      <c r="K15" s="77">
        <f>K13-K14</f>
        <v/>
      </c>
      <c r="L15" s="77">
        <f>L13-L14</f>
        <v/>
      </c>
      <c r="M15" s="77">
        <f>M13-M14</f>
        <v/>
      </c>
      <c r="N15" s="77">
        <f>N13-N14</f>
        <v/>
      </c>
    </row>
    <row r="16" ht="15" customHeight="1" s="39">
      <c r="A16" s="64" t="inlineStr">
        <is>
          <t>Personal (€)</t>
        </is>
      </c>
      <c r="C16" s="71">
        <f>IF(C4&lt;=Annahmen!$B$61,0,Annahmen!$B$20+(Annahmen!$B$21-Annahmen!$B$20)*(C4-Annahmen!$B$61-1)/(35-Annahmen!$B$61))+IF(C4&lt;Annahmen!$B$24,0,IF(C4&lt;=24,Annahmen!$B$22,Annahmen!$B$23))</f>
        <v/>
      </c>
      <c r="D16" s="71">
        <f>IF(D4&lt;=Annahmen!$B$61,0,Annahmen!$B$20+(Annahmen!$B$21-Annahmen!$B$20)*(D4-Annahmen!$B$61-1)/(35-Annahmen!$B$61))+IF(D4&lt;Annahmen!$B$24,0,IF(D4&lt;=24,Annahmen!$B$22,Annahmen!$B$23))</f>
        <v/>
      </c>
      <c r="E16" s="71">
        <f>IF(E4&lt;=Annahmen!$B$61,0,Annahmen!$B$20+(Annahmen!$B$21-Annahmen!$B$20)*(E4-Annahmen!$B$61-1)/(35-Annahmen!$B$61))+IF(E4&lt;Annahmen!$B$24,0,IF(E4&lt;=24,Annahmen!$B$22,Annahmen!$B$23))</f>
        <v/>
      </c>
      <c r="F16" s="71">
        <f>IF(F4&lt;=Annahmen!$B$61,0,Annahmen!$B$20+(Annahmen!$B$21-Annahmen!$B$20)*(F4-Annahmen!$B$61-1)/(35-Annahmen!$B$61))+IF(F4&lt;Annahmen!$B$24,0,IF(F4&lt;=24,Annahmen!$B$22,Annahmen!$B$23))</f>
        <v/>
      </c>
      <c r="G16" s="71">
        <f>IF(G4&lt;=Annahmen!$B$61,0,Annahmen!$B$20+(Annahmen!$B$21-Annahmen!$B$20)*(G4-Annahmen!$B$61-1)/(35-Annahmen!$B$61))+IF(G4&lt;Annahmen!$B$24,0,IF(G4&lt;=24,Annahmen!$B$22,Annahmen!$B$23))</f>
        <v/>
      </c>
      <c r="H16" s="71">
        <f>IF(H4&lt;=Annahmen!$B$61,0,Annahmen!$B$20+(Annahmen!$B$21-Annahmen!$B$20)*(H4-Annahmen!$B$61-1)/(35-Annahmen!$B$61))+IF(H4&lt;Annahmen!$B$24,0,IF(H4&lt;=24,Annahmen!$B$22,Annahmen!$B$23))</f>
        <v/>
      </c>
      <c r="I16" s="71">
        <f>IF(I4&lt;=Annahmen!$B$61,0,Annahmen!$B$20+(Annahmen!$B$21-Annahmen!$B$20)*(I4-Annahmen!$B$61-1)/(35-Annahmen!$B$61))+IF(I4&lt;Annahmen!$B$24,0,IF(I4&lt;=24,Annahmen!$B$22,Annahmen!$B$23))</f>
        <v/>
      </c>
      <c r="J16" s="71">
        <f>IF(J4&lt;=Annahmen!$B$61,0,Annahmen!$B$20+(Annahmen!$B$21-Annahmen!$B$20)*(J4-Annahmen!$B$61-1)/(35-Annahmen!$B$61))+IF(J4&lt;Annahmen!$B$24,0,IF(J4&lt;=24,Annahmen!$B$22,Annahmen!$B$23))</f>
        <v/>
      </c>
      <c r="K16" s="71">
        <f>IF(K4&lt;=Annahmen!$B$61,0,Annahmen!$B$20+(Annahmen!$B$21-Annahmen!$B$20)*(K4-Annahmen!$B$61-1)/(35-Annahmen!$B$61))+IF(K4&lt;Annahmen!$B$24,0,IF(K4&lt;=24,Annahmen!$B$22,Annahmen!$B$23))</f>
        <v/>
      </c>
      <c r="L16" s="71">
        <f>IF(L4&lt;=Annahmen!$B$61,0,Annahmen!$B$20+(Annahmen!$B$21-Annahmen!$B$20)*(L4-Annahmen!$B$61-1)/(35-Annahmen!$B$61))+IF(L4&lt;Annahmen!$B$24,0,IF(L4&lt;=24,Annahmen!$B$22,Annahmen!$B$23))</f>
        <v/>
      </c>
      <c r="M16" s="71">
        <f>IF(M4&lt;=Annahmen!$B$61,0,Annahmen!$B$20+(Annahmen!$B$21-Annahmen!$B$20)*(M4-Annahmen!$B$61-1)/(35-Annahmen!$B$61))+IF(M4&lt;Annahmen!$B$24,0,IF(M4&lt;=24,Annahmen!$B$22,Annahmen!$B$23))</f>
        <v/>
      </c>
      <c r="N16" s="71">
        <f>IF(N4&lt;=Annahmen!$B$61,0,Annahmen!$B$20+(Annahmen!$B$21-Annahmen!$B$20)*(N4-Annahmen!$B$61-1)/(35-Annahmen!$B$61))+IF(N4&lt;Annahmen!$B$24,0,IF(N4&lt;=24,Annahmen!$B$22,Annahmen!$B$23))</f>
        <v/>
      </c>
    </row>
    <row r="17" ht="15" customHeight="1" s="39">
      <c r="A17" s="64" t="inlineStr">
        <is>
          <t>Miete/Homeoffice (€)</t>
        </is>
      </c>
      <c r="C17" s="71">
        <f>Annahmen!$B$27</f>
        <v/>
      </c>
      <c r="D17" s="71">
        <f>Annahmen!$B$27</f>
        <v/>
      </c>
      <c r="E17" s="71">
        <f>Annahmen!$B$27</f>
        <v/>
      </c>
      <c r="F17" s="71">
        <f>Annahmen!$B$27</f>
        <v/>
      </c>
      <c r="G17" s="71">
        <f>Annahmen!$B$27</f>
        <v/>
      </c>
      <c r="H17" s="71">
        <f>Annahmen!$B$27</f>
        <v/>
      </c>
      <c r="I17" s="71">
        <f>Annahmen!$B$27</f>
        <v/>
      </c>
      <c r="J17" s="71">
        <f>Annahmen!$B$27</f>
        <v/>
      </c>
      <c r="K17" s="71">
        <f>Annahmen!$B$27</f>
        <v/>
      </c>
      <c r="L17" s="71">
        <f>Annahmen!$B$27</f>
        <v/>
      </c>
      <c r="M17" s="71">
        <f>Annahmen!$B$27</f>
        <v/>
      </c>
      <c r="N17" s="71">
        <f>Annahmen!$B$27</f>
        <v/>
      </c>
    </row>
    <row r="18" ht="15" customHeight="1" s="39">
      <c r="A18" s="64" t="inlineStr">
        <is>
          <t>Werbung (€)</t>
        </is>
      </c>
      <c r="C18" s="71">
        <f>Annahmen!$B$28+(Annahmen!$B$29-Annahmen!$B$28)*(C4-1)/35</f>
        <v/>
      </c>
      <c r="D18" s="71">
        <f>Annahmen!$B$28+(Annahmen!$B$29-Annahmen!$B$28)*(D4-1)/35</f>
        <v/>
      </c>
      <c r="E18" s="71">
        <f>Annahmen!$B$28+(Annahmen!$B$29-Annahmen!$B$28)*(E4-1)/35</f>
        <v/>
      </c>
      <c r="F18" s="71">
        <f>Annahmen!$B$28+(Annahmen!$B$29-Annahmen!$B$28)*(F4-1)/35</f>
        <v/>
      </c>
      <c r="G18" s="71">
        <f>Annahmen!$B$28+(Annahmen!$B$29-Annahmen!$B$28)*(G4-1)/35</f>
        <v/>
      </c>
      <c r="H18" s="71">
        <f>Annahmen!$B$28+(Annahmen!$B$29-Annahmen!$B$28)*(H4-1)/35</f>
        <v/>
      </c>
      <c r="I18" s="71">
        <f>Annahmen!$B$28+(Annahmen!$B$29-Annahmen!$B$28)*(I4-1)/35</f>
        <v/>
      </c>
      <c r="J18" s="71">
        <f>Annahmen!$B$28+(Annahmen!$B$29-Annahmen!$B$28)*(J4-1)/35</f>
        <v/>
      </c>
      <c r="K18" s="71">
        <f>Annahmen!$B$28+(Annahmen!$B$29-Annahmen!$B$28)*(K4-1)/35</f>
        <v/>
      </c>
      <c r="L18" s="71">
        <f>Annahmen!$B$28+(Annahmen!$B$29-Annahmen!$B$28)*(L4-1)/35</f>
        <v/>
      </c>
      <c r="M18" s="71">
        <f>Annahmen!$B$28+(Annahmen!$B$29-Annahmen!$B$28)*(M4-1)/35</f>
        <v/>
      </c>
      <c r="N18" s="71">
        <f>Annahmen!$B$28+(Annahmen!$B$29-Annahmen!$B$28)*(N4-1)/35</f>
        <v/>
      </c>
    </row>
    <row r="19" ht="15" customHeight="1" s="39">
      <c r="A19" s="64" t="inlineStr">
        <is>
          <t>Buchführung (€)</t>
        </is>
      </c>
      <c r="C19" s="71">
        <f>Annahmen!$B$30</f>
        <v/>
      </c>
      <c r="D19" s="71">
        <f>Annahmen!$B$30</f>
        <v/>
      </c>
      <c r="E19" s="71">
        <f>Annahmen!$B$30</f>
        <v/>
      </c>
      <c r="F19" s="71">
        <f>Annahmen!$B$30</f>
        <v/>
      </c>
      <c r="G19" s="71">
        <f>Annahmen!$B$30</f>
        <v/>
      </c>
      <c r="H19" s="71">
        <f>Annahmen!$B$30</f>
        <v/>
      </c>
      <c r="I19" s="71">
        <f>Annahmen!$B$30</f>
        <v/>
      </c>
      <c r="J19" s="71">
        <f>Annahmen!$B$30</f>
        <v/>
      </c>
      <c r="K19" s="71">
        <f>Annahmen!$B$30</f>
        <v/>
      </c>
      <c r="L19" s="71">
        <f>Annahmen!$B$30</f>
        <v/>
      </c>
      <c r="M19" s="71">
        <f>Annahmen!$B$30</f>
        <v/>
      </c>
      <c r="N19" s="71">
        <f>Annahmen!$B$30</f>
        <v/>
      </c>
    </row>
    <row r="20" ht="15" customHeight="1" s="39">
      <c r="A20" s="64" t="inlineStr">
        <is>
          <t>Abschreibung (€)</t>
        </is>
      </c>
      <c r="C20" s="71">
        <f>Annahmen!$B$36</f>
        <v/>
      </c>
      <c r="D20" s="71">
        <f>Annahmen!$B$36</f>
        <v/>
      </c>
      <c r="E20" s="71">
        <f>Annahmen!$B$36</f>
        <v/>
      </c>
      <c r="F20" s="71">
        <f>Annahmen!$B$36</f>
        <v/>
      </c>
      <c r="G20" s="71">
        <f>Annahmen!$B$36</f>
        <v/>
      </c>
      <c r="H20" s="71">
        <f>Annahmen!$B$36</f>
        <v/>
      </c>
      <c r="I20" s="71">
        <f>Annahmen!$B$36</f>
        <v/>
      </c>
      <c r="J20" s="71">
        <f>Annahmen!$B$36</f>
        <v/>
      </c>
      <c r="K20" s="71">
        <f>Annahmen!$B$36</f>
        <v/>
      </c>
      <c r="L20" s="71">
        <f>Annahmen!$B$36</f>
        <v/>
      </c>
      <c r="M20" s="71">
        <f>Annahmen!$B$36</f>
        <v/>
      </c>
      <c r="N20" s="71">
        <f>Annahmen!$B$36</f>
        <v/>
      </c>
    </row>
    <row r="21" ht="15" customHeight="1" s="39">
      <c r="A21" s="54" t="inlineStr">
        <is>
          <t>BETRIEBSERGEBNIS / EBIT (€)</t>
        </is>
      </c>
      <c r="C21" s="77">
        <f>C15-C16-C17-C18-C19-C20</f>
        <v/>
      </c>
      <c r="D21" s="77">
        <f>D15-D16-D17-D18-D19-D20</f>
        <v/>
      </c>
      <c r="E21" s="77">
        <f>E15-E16-E17-E18-E19-E20</f>
        <v/>
      </c>
      <c r="F21" s="77">
        <f>F15-F16-F17-F18-F19-F20</f>
        <v/>
      </c>
      <c r="G21" s="77">
        <f>G15-G16-G17-G18-G19-G20</f>
        <v/>
      </c>
      <c r="H21" s="77">
        <f>H15-H16-H17-H18-H19-H20</f>
        <v/>
      </c>
      <c r="I21" s="77">
        <f>I15-I16-I17-I18-I19-I20</f>
        <v/>
      </c>
      <c r="J21" s="77">
        <f>J15-J16-J17-J18-J19-J20</f>
        <v/>
      </c>
      <c r="K21" s="77">
        <f>K15-K16-K17-K18-K19-K20</f>
        <v/>
      </c>
      <c r="L21" s="77">
        <f>L15-L16-L17-L18-L19-L20</f>
        <v/>
      </c>
      <c r="M21" s="77">
        <f>M15-M16-M17-M18-M19-M20</f>
        <v/>
      </c>
      <c r="N21" s="77">
        <f>N15-N16-N17-N18-N19-N20</f>
        <v/>
      </c>
    </row>
    <row r="23" ht="15" customHeight="1" s="39">
      <c r="A23" s="64" t="inlineStr">
        <is>
          <t>Kreditsaldo Beginn (€)</t>
        </is>
      </c>
      <c r="C23" s="71">
        <f>Annahmen!$B$39</f>
        <v/>
      </c>
      <c r="D23" s="71">
        <f>C27</f>
        <v/>
      </c>
      <c r="E23" s="71">
        <f>D27</f>
        <v/>
      </c>
      <c r="F23" s="71">
        <f>E27</f>
        <v/>
      </c>
      <c r="G23" s="71">
        <f>F27</f>
        <v/>
      </c>
      <c r="H23" s="71">
        <f>G27</f>
        <v/>
      </c>
      <c r="I23" s="71">
        <f>H27</f>
        <v/>
      </c>
      <c r="J23" s="71">
        <f>I27</f>
        <v/>
      </c>
      <c r="K23" s="71">
        <f>J27</f>
        <v/>
      </c>
      <c r="L23" s="71">
        <f>K27</f>
        <v/>
      </c>
      <c r="M23" s="71">
        <f>L27</f>
        <v/>
      </c>
      <c r="N23" s="71">
        <f>M27</f>
        <v/>
      </c>
    </row>
    <row r="24" ht="15" customHeight="1" s="39">
      <c r="A24" s="64" t="inlineStr">
        <is>
          <t>ProFIT-Sondertilgung (€)</t>
        </is>
      </c>
      <c r="C24" s="71">
        <f>IF(C4=Annahmen!$B$41,Annahmen!$B$39-Annahmen!$B$40,0)</f>
        <v/>
      </c>
      <c r="D24" s="71">
        <f>IF(D4=Annahmen!$B$41,Annahmen!$B$39-Annahmen!$B$40,0)</f>
        <v/>
      </c>
      <c r="E24" s="71">
        <f>IF(E4=Annahmen!$B$41,Annahmen!$B$39-Annahmen!$B$40,0)</f>
        <v/>
      </c>
      <c r="F24" s="71">
        <f>IF(F4=Annahmen!$B$41,Annahmen!$B$39-Annahmen!$B$40,0)</f>
        <v/>
      </c>
      <c r="G24" s="71">
        <f>IF(G4=Annahmen!$B$41,Annahmen!$B$39-Annahmen!$B$40,0)</f>
        <v/>
      </c>
      <c r="H24" s="71">
        <f>IF(H4=Annahmen!$B$41,Annahmen!$B$39-Annahmen!$B$40,0)</f>
        <v/>
      </c>
      <c r="I24" s="71">
        <f>IF(I4=Annahmen!$B$41,Annahmen!$B$39-Annahmen!$B$40,0)</f>
        <v/>
      </c>
      <c r="J24" s="71">
        <f>IF(J4=Annahmen!$B$41,Annahmen!$B$39-Annahmen!$B$40,0)</f>
        <v/>
      </c>
      <c r="K24" s="71">
        <f>IF(K4=Annahmen!$B$41,Annahmen!$B$39-Annahmen!$B$40,0)</f>
        <v/>
      </c>
      <c r="L24" s="71">
        <f>IF(L4=Annahmen!$B$41,Annahmen!$B$39-Annahmen!$B$40,0)</f>
        <v/>
      </c>
      <c r="M24" s="71">
        <f>IF(M4=Annahmen!$B$41,Annahmen!$B$39-Annahmen!$B$40,0)</f>
        <v/>
      </c>
      <c r="N24" s="71">
        <f>IF(N4=Annahmen!$B$41,Annahmen!$B$39-Annahmen!$B$40,0)</f>
        <v/>
      </c>
    </row>
    <row r="25" ht="15" customHeight="1" s="39">
      <c r="A25" s="64" t="inlineStr">
        <is>
          <t>Zinsen (€)</t>
        </is>
      </c>
      <c r="C25" s="76">
        <f>(C23-C24)*Annahmen!$B$43</f>
        <v/>
      </c>
      <c r="D25" s="76">
        <f>(D23-D24)*Annahmen!$B$43</f>
        <v/>
      </c>
      <c r="E25" s="76">
        <f>(E23-E24)*Annahmen!$B$43</f>
        <v/>
      </c>
      <c r="F25" s="76">
        <f>(F23-F24)*Annahmen!$B$43</f>
        <v/>
      </c>
      <c r="G25" s="76">
        <f>(G23-G24)*Annahmen!$B$43</f>
        <v/>
      </c>
      <c r="H25" s="76">
        <f>(H23-H24)*Annahmen!$B$43</f>
        <v/>
      </c>
      <c r="I25" s="76">
        <f>(I23-I24)*Annahmen!$B$43</f>
        <v/>
      </c>
      <c r="J25" s="76">
        <f>(J23-J24)*Annahmen!$B$43</f>
        <v/>
      </c>
      <c r="K25" s="76">
        <f>(K23-K24)*Annahmen!$B$43</f>
        <v/>
      </c>
      <c r="L25" s="76">
        <f>(L23-L24)*Annahmen!$B$43</f>
        <v/>
      </c>
      <c r="M25" s="76">
        <f>(M23-M24)*Annahmen!$B$43</f>
        <v/>
      </c>
      <c r="N25" s="76">
        <f>(N23-N24)*Annahmen!$B$43</f>
        <v/>
      </c>
    </row>
    <row r="26" ht="15" customHeight="1" s="39">
      <c r="A26" s="64" t="inlineStr">
        <is>
          <t>Reguläre Tilgung (€)</t>
        </is>
      </c>
      <c r="C26" s="76">
        <f>IF(C4&gt;Annahmen!$B$44*12,Annahmen!$B$47,0)</f>
        <v/>
      </c>
      <c r="D26" s="76">
        <f>IF(D4&gt;Annahmen!$B$44*12,Annahmen!$B$47,0)</f>
        <v/>
      </c>
      <c r="E26" s="76">
        <f>IF(E4&gt;Annahmen!$B$44*12,Annahmen!$B$47,0)</f>
        <v/>
      </c>
      <c r="F26" s="76">
        <f>IF(F4&gt;Annahmen!$B$44*12,Annahmen!$B$47,0)</f>
        <v/>
      </c>
      <c r="G26" s="76">
        <f>IF(G4&gt;Annahmen!$B$44*12,Annahmen!$B$47,0)</f>
        <v/>
      </c>
      <c r="H26" s="76">
        <f>IF(H4&gt;Annahmen!$B$44*12,Annahmen!$B$47,0)</f>
        <v/>
      </c>
      <c r="I26" s="76">
        <f>IF(I4&gt;Annahmen!$B$44*12,Annahmen!$B$47,0)</f>
        <v/>
      </c>
      <c r="J26" s="76">
        <f>IF(J4&gt;Annahmen!$B$44*12,Annahmen!$B$47,0)</f>
        <v/>
      </c>
      <c r="K26" s="76">
        <f>IF(K4&gt;Annahmen!$B$44*12,Annahmen!$B$47,0)</f>
        <v/>
      </c>
      <c r="L26" s="76">
        <f>IF(L4&gt;Annahmen!$B$44*12,Annahmen!$B$47,0)</f>
        <v/>
      </c>
      <c r="M26" s="76">
        <f>IF(M4&gt;Annahmen!$B$44*12,Annahmen!$B$47,0)</f>
        <v/>
      </c>
      <c r="N26" s="76">
        <f>IF(N4&gt;Annahmen!$B$44*12,Annahmen!$B$47,0)</f>
        <v/>
      </c>
    </row>
    <row r="27" ht="15" customHeight="1" s="39">
      <c r="A27" s="64" t="inlineStr">
        <is>
          <t>Kreditsaldo Ende (€)</t>
        </is>
      </c>
      <c r="C27" s="71">
        <f>C23-C24-C26</f>
        <v/>
      </c>
      <c r="D27" s="71">
        <f>D23-D24-D26</f>
        <v/>
      </c>
      <c r="E27" s="71">
        <f>E23-E24-E26</f>
        <v/>
      </c>
      <c r="F27" s="71">
        <f>F23-F24-F26</f>
        <v/>
      </c>
      <c r="G27" s="71">
        <f>G23-G24-G26</f>
        <v/>
      </c>
      <c r="H27" s="71">
        <f>H23-H24-H26</f>
        <v/>
      </c>
      <c r="I27" s="71">
        <f>I23-I24-I26</f>
        <v/>
      </c>
      <c r="J27" s="71">
        <f>J23-J24-J26</f>
        <v/>
      </c>
      <c r="K27" s="71">
        <f>K23-K24-K26</f>
        <v/>
      </c>
      <c r="L27" s="71">
        <f>L23-L24-L26</f>
        <v/>
      </c>
      <c r="M27" s="71">
        <f>M23-M24-M26</f>
        <v/>
      </c>
      <c r="N27" s="71">
        <f>N23-N24-N26</f>
        <v/>
      </c>
    </row>
    <row r="29" ht="15" customHeight="1" s="39">
      <c r="A29" s="54" t="inlineStr">
        <is>
          <t>EBT vor Steuern (€)</t>
        </is>
      </c>
      <c r="C29" s="77">
        <f>C21-C25</f>
        <v/>
      </c>
      <c r="D29" s="77">
        <f>D21-D25</f>
        <v/>
      </c>
      <c r="E29" s="77">
        <f>E21-E25</f>
        <v/>
      </c>
      <c r="F29" s="77">
        <f>F21-F25</f>
        <v/>
      </c>
      <c r="G29" s="77">
        <f>G21-G25</f>
        <v/>
      </c>
      <c r="H29" s="77">
        <f>H21-H25</f>
        <v/>
      </c>
      <c r="I29" s="77">
        <f>I21-I25</f>
        <v/>
      </c>
      <c r="J29" s="77">
        <f>J21-J25</f>
        <v/>
      </c>
      <c r="K29" s="77">
        <f>K21-K25</f>
        <v/>
      </c>
      <c r="L29" s="77">
        <f>L21-L25</f>
        <v/>
      </c>
      <c r="M29" s="77">
        <f>M21-M25</f>
        <v/>
      </c>
      <c r="N29" s="77">
        <f>N21-N25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2026-06-14T17:49:22Z</dcterms:created>
  <dcterms:modified xsi:type="dcterms:W3CDTF">2026-07-16T16:20:15Z</dcterms:modified>
  <cp:revision>0</cp:revision>
</cp:coreProperties>
</file>